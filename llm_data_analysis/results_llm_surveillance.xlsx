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andreausai/Desktop/"/>
    </mc:Choice>
  </mc:AlternateContent>
  <xr:revisionPtr revIDLastSave="0" documentId="13_ncr:1_{E566E423-C922-364D-869E-561035339465}" xr6:coauthVersionLast="47" xr6:coauthVersionMax="47" xr10:uidLastSave="{00000000-0000-0000-0000-000000000000}"/>
  <bookViews>
    <workbookView xWindow="0" yWindow="740" windowWidth="29400" windowHeight="17080" xr2:uid="{C6431170-4769-0C45-BD90-1EDB01F913AD}"/>
  </bookViews>
  <sheets>
    <sheet name="Autonomous_FP&amp;HI" sheetId="7" r:id="rId1"/>
    <sheet name="Autonomous_logical_sequence" sheetId="5" r:id="rId2"/>
    <sheet name="Autonomou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T68" i="2"/>
  <c r="U68" i="2"/>
  <c r="V68" i="2"/>
  <c r="W68" i="2"/>
  <c r="X68" i="2"/>
  <c r="Y68" i="2"/>
  <c r="Z68" i="2"/>
  <c r="AA68" i="2"/>
  <c r="AB68" i="2"/>
  <c r="AC68" i="2"/>
  <c r="T69" i="2"/>
  <c r="U69" i="2"/>
  <c r="V69" i="2"/>
  <c r="W69" i="2"/>
  <c r="X69" i="2"/>
  <c r="Y69" i="2"/>
  <c r="Z69" i="2"/>
  <c r="AA69" i="2"/>
  <c r="AB69" i="2"/>
  <c r="AC69" i="2"/>
  <c r="T70" i="2"/>
  <c r="U70" i="2"/>
  <c r="V70" i="2"/>
  <c r="W70" i="2"/>
  <c r="X70" i="2"/>
  <c r="Y70" i="2"/>
  <c r="Z70" i="2"/>
  <c r="AA70" i="2"/>
  <c r="AB70" i="2"/>
  <c r="AC70" i="2"/>
  <c r="T49" i="2"/>
  <c r="U49" i="2"/>
  <c r="V49" i="2"/>
  <c r="W49" i="2"/>
  <c r="X49" i="2"/>
  <c r="Y49" i="2"/>
  <c r="Z49" i="2"/>
  <c r="AA49" i="2"/>
  <c r="AB49" i="2"/>
  <c r="AC49" i="2"/>
  <c r="T50" i="2"/>
  <c r="U50" i="2"/>
  <c r="V50" i="2"/>
  <c r="W50" i="2"/>
  <c r="X50" i="2"/>
  <c r="Y50" i="2"/>
  <c r="Z50" i="2"/>
  <c r="AA50" i="2"/>
  <c r="AB50" i="2"/>
  <c r="AC50" i="2"/>
  <c r="T59" i="2"/>
  <c r="Y58" i="2"/>
  <c r="Z58" i="2"/>
  <c r="AA58" i="2"/>
  <c r="AB58" i="2"/>
  <c r="AC58" i="2"/>
  <c r="Y59" i="2"/>
  <c r="Z59" i="2"/>
  <c r="AA59" i="2"/>
  <c r="AB59" i="2"/>
  <c r="AC59" i="2"/>
  <c r="T58" i="2"/>
  <c r="U58" i="2"/>
  <c r="V58" i="2"/>
  <c r="W58" i="2"/>
  <c r="X58" i="2"/>
  <c r="U59" i="2"/>
  <c r="V59" i="2"/>
  <c r="W59" i="2"/>
  <c r="X59" i="2"/>
  <c r="T60" i="2"/>
  <c r="U60" i="2"/>
  <c r="V60" i="2"/>
  <c r="W60" i="2"/>
  <c r="X60" i="2"/>
  <c r="T35" i="2"/>
  <c r="U35" i="2"/>
  <c r="V35" i="2"/>
  <c r="W35" i="2"/>
  <c r="X35" i="2"/>
  <c r="Y35" i="2"/>
  <c r="Z35" i="2"/>
  <c r="AA35" i="2"/>
  <c r="AB35" i="2"/>
  <c r="AC35" i="2"/>
  <c r="Z34" i="2"/>
  <c r="AA34" i="2"/>
  <c r="AB34" i="2"/>
  <c r="AC34" i="2"/>
  <c r="Y34" i="2"/>
  <c r="U34" i="2"/>
  <c r="V34" i="2"/>
  <c r="W34" i="2"/>
  <c r="X34" i="2"/>
  <c r="T34" i="2"/>
  <c r="Y25" i="2"/>
  <c r="Z25" i="2"/>
  <c r="AA25" i="2"/>
  <c r="AB25" i="2"/>
  <c r="AC25" i="2"/>
  <c r="T25" i="2"/>
  <c r="U25" i="2"/>
  <c r="V25" i="2"/>
  <c r="W25" i="2"/>
  <c r="X25" i="2"/>
  <c r="Y17" i="2"/>
  <c r="Z17" i="2"/>
  <c r="AA17" i="2"/>
  <c r="AB17" i="2"/>
  <c r="AC17" i="2"/>
  <c r="T17" i="2"/>
  <c r="U17" i="2"/>
  <c r="V17" i="2"/>
  <c r="W17" i="2"/>
  <c r="X17" i="2"/>
  <c r="AA48" i="2"/>
  <c r="AC67" i="2"/>
  <c r="AB67" i="2"/>
  <c r="AA67" i="2"/>
  <c r="Z67" i="2"/>
  <c r="Y67" i="2"/>
  <c r="X67" i="2"/>
  <c r="W67" i="2"/>
  <c r="V67" i="2"/>
  <c r="U67" i="2"/>
  <c r="T67" i="2"/>
  <c r="AC60" i="2"/>
  <c r="AB60" i="2"/>
  <c r="AA60" i="2"/>
  <c r="Z60" i="2"/>
  <c r="Y60" i="2"/>
  <c r="AC57" i="2"/>
  <c r="AB57" i="2"/>
  <c r="AA57" i="2"/>
  <c r="Z57" i="2"/>
  <c r="Y57" i="2"/>
  <c r="X57" i="2"/>
  <c r="W57" i="2"/>
  <c r="V57" i="2"/>
  <c r="U57" i="2"/>
  <c r="T57" i="2"/>
  <c r="AC51" i="2"/>
  <c r="AB51" i="2"/>
  <c r="AA51" i="2"/>
  <c r="Y51" i="2"/>
  <c r="X51" i="2"/>
  <c r="W51" i="2"/>
  <c r="V51" i="2"/>
  <c r="T51" i="2"/>
  <c r="C51" i="2"/>
  <c r="Z51" i="2" s="1"/>
  <c r="AC48" i="2"/>
  <c r="AB48" i="2"/>
  <c r="Z48" i="2"/>
  <c r="Y48" i="2"/>
  <c r="X48" i="2"/>
  <c r="W48" i="2"/>
  <c r="V48" i="2"/>
  <c r="U48" i="2"/>
  <c r="T48" i="2"/>
  <c r="Z37" i="2"/>
  <c r="Z36" i="2"/>
  <c r="U37" i="2"/>
  <c r="U36" i="2"/>
  <c r="U27" i="2"/>
  <c r="U26" i="2"/>
  <c r="U24" i="2"/>
  <c r="Z27" i="2"/>
  <c r="Z26" i="2"/>
  <c r="Z24" i="2"/>
  <c r="Z16" i="2"/>
  <c r="Z18" i="2"/>
  <c r="Z15" i="2"/>
  <c r="AA15" i="2"/>
  <c r="AB15" i="2"/>
  <c r="AC15" i="2"/>
  <c r="U16" i="2"/>
  <c r="U18" i="2"/>
  <c r="U15" i="2"/>
  <c r="AC37" i="2"/>
  <c r="AB37" i="2"/>
  <c r="AA37" i="2"/>
  <c r="Y37" i="2"/>
  <c r="X37" i="2"/>
  <c r="W37" i="2"/>
  <c r="V37" i="2"/>
  <c r="T37" i="2"/>
  <c r="AC36" i="2"/>
  <c r="AB36" i="2"/>
  <c r="AA36" i="2"/>
  <c r="Y36" i="2"/>
  <c r="X36" i="2"/>
  <c r="W36" i="2"/>
  <c r="V36" i="2"/>
  <c r="T36" i="2"/>
  <c r="AC27" i="2"/>
  <c r="AB27" i="2"/>
  <c r="AA27" i="2"/>
  <c r="Y27" i="2"/>
  <c r="X27" i="2"/>
  <c r="W27" i="2"/>
  <c r="V27" i="2"/>
  <c r="T27" i="2"/>
  <c r="AC26" i="2"/>
  <c r="AB26" i="2"/>
  <c r="AA26" i="2"/>
  <c r="Y26" i="2"/>
  <c r="X26" i="2"/>
  <c r="W26" i="2"/>
  <c r="V26" i="2"/>
  <c r="T26" i="2"/>
  <c r="AC24" i="2"/>
  <c r="AB24" i="2"/>
  <c r="AA24" i="2"/>
  <c r="Y24" i="2"/>
  <c r="X24" i="2"/>
  <c r="W24" i="2"/>
  <c r="V24" i="2"/>
  <c r="T24" i="2"/>
  <c r="AC18" i="2"/>
  <c r="AB18" i="2"/>
  <c r="AA18" i="2"/>
  <c r="Y18" i="2"/>
  <c r="X18" i="2"/>
  <c r="W18" i="2"/>
  <c r="V18" i="2"/>
  <c r="T18" i="2"/>
  <c r="AC16" i="2"/>
  <c r="AB16" i="2"/>
  <c r="AA16" i="2"/>
  <c r="Y16" i="2"/>
  <c r="X16" i="2"/>
  <c r="W16" i="2"/>
  <c r="V16" i="2"/>
  <c r="T16" i="2"/>
  <c r="Y15" i="2"/>
  <c r="X15" i="2"/>
  <c r="W15" i="2"/>
  <c r="V15" i="2"/>
  <c r="T15" i="2"/>
  <c r="U51" i="2" l="1"/>
</calcChain>
</file>

<file path=xl/sharedStrings.xml><?xml version="1.0" encoding="utf-8"?>
<sst xmlns="http://schemas.openxmlformats.org/spreadsheetml/2006/main" count="447" uniqueCount="152">
  <si>
    <t>Camera_1</t>
  </si>
  <si>
    <t>Lidar_3</t>
  </si>
  <si>
    <t>Errori sintattici di scrittura dei parametri delle funzioni</t>
  </si>
  <si>
    <t xml:space="preserve">Errori meno gravi che però non alterano necessariamente la validità del plan (e.g. apertura di porte già aperte, azioni inutili aggiuntive) </t>
  </si>
  <si>
    <t>intesi come errori logici del plan (e.g. movimento del robot sbagliato,)</t>
  </si>
  <si>
    <t>tempo necessario per capire quali funzioni richiamare per eseguire il plan (non ha senso andare a misurare l'esecuzione delle azioni in quanto eseguite in backend e quindi dipendenti da come implementate)</t>
  </si>
  <si>
    <t>Tempo impiegato per generare l'intero plan (non per iniziare a rispondere)</t>
  </si>
  <si>
    <t>Task/Sensor</t>
  </si>
  <si>
    <t>Error Plan (EP)</t>
  </si>
  <si>
    <t>EP</t>
  </si>
  <si>
    <t>Inference time plan (ITP)</t>
  </si>
  <si>
    <t>Error action (EA)</t>
  </si>
  <si>
    <t>EA</t>
  </si>
  <si>
    <t>Inference time action (ITA)</t>
  </si>
  <si>
    <t>SUC</t>
  </si>
  <si>
    <t>Success (SUC)</t>
  </si>
  <si>
    <t>Allucination (ALL)</t>
  </si>
  <si>
    <t>ALL</t>
  </si>
  <si>
    <t>TRIAL 1</t>
  </si>
  <si>
    <t>TRIAL 2</t>
  </si>
  <si>
    <t>TRIAL 3</t>
  </si>
  <si>
    <t>MEAN</t>
  </si>
  <si>
    <t>STD</t>
  </si>
  <si>
    <t>completamento del plan originale se corretto o modificato dall'umano se sbagliato (effettiva identificazione del pedone</t>
  </si>
  <si>
    <t>Lidar_5, Camera_2</t>
  </si>
  <si>
    <t>NA</t>
  </si>
  <si>
    <t>Annotazioni</t>
  </si>
  <si>
    <t>Lidar_7</t>
  </si>
  <si>
    <t>Lidar_5, Lidar_4</t>
  </si>
  <si>
    <t>Lidar_8, Lidar_6</t>
  </si>
  <si>
    <t>Lidar_3, Camera_1, Lidar_7</t>
  </si>
  <si>
    <t>Lidar_6, Lidar_8, Lidar_1</t>
  </si>
  <si>
    <t>3 allucinazioni: apertura di porte già aperte</t>
  </si>
  <si>
    <t>FP</t>
  </si>
  <si>
    <t>False positive</t>
  </si>
  <si>
    <t>HI</t>
  </si>
  <si>
    <t>Hidden intruder</t>
  </si>
  <si>
    <r>
      <rPr>
        <sz val="12"/>
        <color rgb="FFFF0000"/>
        <rFont val="Aptos Narrow (Corpo)"/>
      </rPr>
      <t>Lidar_4 - FP</t>
    </r>
    <r>
      <rPr>
        <sz val="12"/>
        <color theme="1"/>
        <rFont val="Aptos Narrow"/>
        <family val="2"/>
        <scheme val="minor"/>
      </rPr>
      <t>, Lidar_2
(l'intruso rimane in area A)</t>
    </r>
  </si>
  <si>
    <r>
      <t xml:space="preserve">Lidar_5 - HI
</t>
    </r>
    <r>
      <rPr>
        <sz val="12"/>
        <color theme="1"/>
        <rFont val="Aptos Narrow (Corpo)"/>
      </rPr>
      <t>(l'intruso entra in area C)</t>
    </r>
  </si>
  <si>
    <r>
      <t xml:space="preserve">Camera_1, </t>
    </r>
    <r>
      <rPr>
        <sz val="12"/>
        <color rgb="FFFF0000"/>
        <rFont val="Aptos Narrow (Corpo)"/>
      </rPr>
      <t>Lidar_3</t>
    </r>
    <r>
      <rPr>
        <sz val="12"/>
        <color theme="1"/>
        <rFont val="Aptos Narrow"/>
        <family val="2"/>
        <scheme val="minor"/>
      </rPr>
      <t xml:space="preserve"> </t>
    </r>
    <r>
      <rPr>
        <sz val="12"/>
        <color rgb="FFFF0000"/>
        <rFont val="Aptos Narrow (Corpo)"/>
      </rPr>
      <t>- HI</t>
    </r>
    <r>
      <rPr>
        <sz val="12"/>
        <color theme="1"/>
        <rFont val="Aptos Narrow"/>
        <family val="2"/>
        <scheme val="minor"/>
      </rPr>
      <t xml:space="preserve">
(intruso entra in area D)</t>
    </r>
  </si>
  <si>
    <t>Number of Action (NA)</t>
  </si>
  <si>
    <t>Numero di funzioni chiamate durante tutto l'esperimento</t>
  </si>
  <si>
    <t>3 allucinazioni: ha aperto porte che erano già aperte</t>
  </si>
  <si>
    <t>2 alliucinazioni: ha aperto porte che erano già aperte</t>
  </si>
  <si>
    <t>4 allucinazioni: apertura di porte già aperte</t>
  </si>
  <si>
    <t>2 allucinazioni: apertura di porte che erano già aperte</t>
  </si>
  <si>
    <t>3 allucinazioni: aperture porte già aperte</t>
  </si>
  <si>
    <t>Camera_2,Lidar_6, Lidar_8</t>
  </si>
  <si>
    <t>1 allucinazione: apertura porte già aperte</t>
  </si>
  <si>
    <t>2 allucinazioni: apertura di porte già aperte</t>
  </si>
  <si>
    <t>2 allucinazioni: apertura di porte già aperte
1 allucinazione: connessione tra aree inesistente
1 allucinazione: invio di robot in maniera poco efficiente</t>
  </si>
  <si>
    <t>1 allucinazione: invio del robot più lontano nell'area 
1 Error plan: ha mandato il robot in un'area non adiacente e inutile da controllare</t>
  </si>
  <si>
    <t xml:space="preserve">1 allucinazione: apertura di porte già aperte
</t>
  </si>
  <si>
    <r>
      <t xml:space="preserve">2 allucinazione nel plan: ha indicato una porta sbagliata come collegamento tra due aree
2 allucinazioni nelle azioni: apre porte già aperte
Fallimento dovuto al fatto che ha controllato solo parte delle aree adiacenti a quelle considerate. Non ha controllato l'area D
</t>
    </r>
    <r>
      <rPr>
        <sz val="12"/>
        <color rgb="FFFF0000"/>
        <rFont val="Aptos Narrow (Corpo)"/>
      </rPr>
      <t>Da capre se il non aver controllato altre aree sia da considerare un errore nel plan oppure no</t>
    </r>
  </si>
  <si>
    <t>1 allucinazione: mandato il robot più lontano per verificare l'area
1 allucinazione: ha riportato come area principale la E al posto della D, quindi ha indicato tutte le aree adiacenti alla E e non alla D
1 Error Plan: deployment del robot in un'area non adiacente
1 Error Plan: non investigare nell'area effettivamente adiacente e interrompere la sorveglianza</t>
  </si>
  <si>
    <t>2 allucinazioni: apertura porte già aperte
1 allucinazione: ha inviato i robot in maniera poco efficiente nelle aree da investigare (considerando i robot più lontani invece che quelli più vicini)</t>
  </si>
  <si>
    <t>1 allucinazione: apertura porta già aperta</t>
  </si>
  <si>
    <t>1 allucinazione: invio robot nelle aree più lontane
4 allucinazioni: aperture di porte già aperte</t>
  </si>
  <si>
    <t>1 allucinazione: invio di robot nelle aree più distanti
2 allucinazioni: aperture di porte già aperte</t>
  </si>
  <si>
    <t>1 alucinazione: invio di robot nelle aree più lontane
3 allucinazioni: apertura di porte già aperte</t>
  </si>
  <si>
    <t xml:space="preserve">2 allucinazioni: aperture di porte già aperte
2 allucinazione: considerato area da controllare inutile (ma non ha deployato il robot)
1 invio dei robot in aree distanti (poca efficienza)
</t>
  </si>
  <si>
    <t xml:space="preserve">2 allucinazioni: aperture di porte già aperte
</t>
  </si>
  <si>
    <t>2 allucinazioni: apertura porte già aperte</t>
  </si>
  <si>
    <t>Fallito perché non ha creato un piano ulteriore dopo aver ricevuto il feedback del robot</t>
  </si>
  <si>
    <t>1 allucinazione: ha inviato il robot più lontano per monitorare l'area
1 Error Plan: non ha proposto di verificare l'area corretta
2 Error Plan: ha proposto di verificare due aree inutili</t>
  </si>
  <si>
    <t>3 allucinazioni: aperture di porte già aperte</t>
  </si>
  <si>
    <t>1 allucinazione: apertura di porte già aperte
2 Error Plan: ha controllato due aree non direttamente adiacenti
Fallimento dovuto al fatto che ha smesso di verificare le aree senza controllare l'area G.</t>
  </si>
  <si>
    <t xml:space="preserve">3 allucinazioni: aperture di porte già aperte
1 allucinazione: invio dei robot in maniera poco efficiente (nelle aree più lontane)
</t>
  </si>
  <si>
    <t>2 allucinazioni: aperture di porte già aperte
1 allucinazione: ha proposto di mandare il robot più lontano per controllare un'area</t>
  </si>
  <si>
    <t>2 allucinazioni: apertura di porte che erano già aperte
1 allucinazione: invio robot nelle aree più distanti</t>
  </si>
  <si>
    <t xml:space="preserve">
1 allucinazione: aperture di porta già aperta</t>
  </si>
  <si>
    <t xml:space="preserve">2 allucinazioni: aperture di porte già aperte </t>
  </si>
  <si>
    <t>1 allcuinazione: apertura di porte già aperte</t>
  </si>
  <si>
    <t>AUTONOMOUS TEST - LOGICAL SEQUENCE</t>
  </si>
  <si>
    <t>AUTONOMOUS TEST - FALSE POSITIVE &amp; HIDDEN INTRUDER</t>
  </si>
  <si>
    <t>Lidar 6</t>
  </si>
  <si>
    <t>Lidar_6, Lidar_2</t>
  </si>
  <si>
    <t>Lidar_2, Lidar_5, Lidar_4</t>
  </si>
  <si>
    <t>1 allucinazione: invio di robot nelle aree più lontane
2 allucinazioni: aperture di porte già aperte</t>
  </si>
  <si>
    <t>CONSIDERAZIONI GENERALI</t>
  </si>
  <si>
    <t>1 Error Plan:  ha sbagliato l a posizione di un lidar, mandando il robot in un'area errata.
3 Error Plan: legati al precedente, ha continuato a sbagliare aree in cui inviare il robot
2 allucinazioni: aperture di porte già aperte</t>
  </si>
  <si>
    <t xml:space="preserve">2 allucinazioni: apertura di porte già aperte
</t>
  </si>
  <si>
    <t xml:space="preserve">Lidar_2 - FP
</t>
  </si>
  <si>
    <t>Camera_2 - FP</t>
  </si>
  <si>
    <r>
      <t>Lidar_3,</t>
    </r>
    <r>
      <rPr>
        <sz val="12"/>
        <color rgb="FFFF0000"/>
        <rFont val="Aptos Narrow (Corpo)"/>
      </rPr>
      <t xml:space="preserve"> Lidar_8 - FP</t>
    </r>
    <r>
      <rPr>
        <sz val="12"/>
        <color theme="1"/>
        <rFont val="Aptos Narrow"/>
        <family val="2"/>
        <scheme val="minor"/>
      </rPr>
      <t xml:space="preserve">
(l'intruso rimane in area C)</t>
    </r>
  </si>
  <si>
    <r>
      <t>Lidar_2,</t>
    </r>
    <r>
      <rPr>
        <sz val="12"/>
        <color rgb="FFFF0000"/>
        <rFont val="Aptos Narrow (Corpo)"/>
      </rPr>
      <t xml:space="preserve"> Lidar_1 - HI
</t>
    </r>
    <r>
      <rPr>
        <sz val="12"/>
        <color theme="1"/>
        <rFont val="Aptos Narrow (Corpo)"/>
      </rPr>
      <t>(l'intruso si nasconde in area G)</t>
    </r>
  </si>
  <si>
    <r>
      <t xml:space="preserve">Lidar_5, Lidar_4, </t>
    </r>
    <r>
      <rPr>
        <sz val="12"/>
        <color rgb="FFFF0000"/>
        <rFont val="Aptos Narrow (Corpo)"/>
      </rPr>
      <t xml:space="preserve">Lidar_6 -HI
</t>
    </r>
    <r>
      <rPr>
        <sz val="12"/>
        <color theme="1"/>
        <rFont val="Aptos Narrow (Corpo)"/>
      </rPr>
      <t>(l'intruso si nasconde in A)</t>
    </r>
  </si>
  <si>
    <r>
      <rPr>
        <sz val="12"/>
        <color theme="1"/>
        <rFont val="Aptos Narrow (Corpo)"/>
      </rPr>
      <t>Lidar_1</t>
    </r>
    <r>
      <rPr>
        <sz val="12"/>
        <color theme="1"/>
        <rFont val="Aptos Narrow"/>
        <family val="2"/>
        <scheme val="minor"/>
      </rPr>
      <t xml:space="preserve">, Lidar_2, </t>
    </r>
    <r>
      <rPr>
        <sz val="12"/>
        <color rgb="FFFF0000"/>
        <rFont val="Aptos Narrow (Corpo)"/>
      </rPr>
      <t>Camera_2  -FP</t>
    </r>
    <r>
      <rPr>
        <sz val="12"/>
        <color theme="1"/>
        <rFont val="Aptos Narrow"/>
        <family val="2"/>
        <scheme val="minor"/>
      </rPr>
      <t xml:space="preserve">
(l'intruso rimane in A)</t>
    </r>
  </si>
  <si>
    <r>
      <t xml:space="preserve">Camera_1, </t>
    </r>
    <r>
      <rPr>
        <sz val="12"/>
        <color theme="1"/>
        <rFont val="Aptos Narrow (Corpo)"/>
      </rPr>
      <t>Lidar_6</t>
    </r>
    <r>
      <rPr>
        <sz val="12"/>
        <color theme="1"/>
        <rFont val="Aptos Narrow"/>
        <family val="2"/>
        <scheme val="minor"/>
      </rPr>
      <t>,</t>
    </r>
    <r>
      <rPr>
        <sz val="12"/>
        <color rgb="FFFF0000"/>
        <rFont val="Aptos Narrow (Corpo)"/>
      </rPr>
      <t xml:space="preserve"> Lidar_5 - FP</t>
    </r>
    <r>
      <rPr>
        <sz val="12"/>
        <color theme="1"/>
        <rFont val="Aptos Narrow"/>
        <family val="2"/>
        <scheme val="minor"/>
      </rPr>
      <t xml:space="preserve">
(l'intruso rimane in G)</t>
    </r>
  </si>
  <si>
    <r>
      <t xml:space="preserve">Lidar_7, Lidar_2, </t>
    </r>
    <r>
      <rPr>
        <sz val="12"/>
        <color rgb="FFFF0000"/>
        <rFont val="Aptos Narrow (Corpo)"/>
      </rPr>
      <t>Lidar_1</t>
    </r>
    <r>
      <rPr>
        <sz val="12"/>
        <color theme="1"/>
        <rFont val="Aptos Narrow"/>
        <family val="2"/>
        <scheme val="minor"/>
      </rPr>
      <t xml:space="preserve"> </t>
    </r>
    <r>
      <rPr>
        <sz val="12"/>
        <color rgb="FFFF0000"/>
        <rFont val="Aptos Narrow (Corpo)"/>
      </rPr>
      <t>- HI</t>
    </r>
    <r>
      <rPr>
        <sz val="12"/>
        <color theme="1"/>
        <rFont val="Aptos Narrow"/>
        <family val="2"/>
        <scheme val="minor"/>
      </rPr>
      <t xml:space="preserve">
(l'intruso rimane in G)</t>
    </r>
  </si>
  <si>
    <r>
      <t>Lidar_1 - HI</t>
    </r>
    <r>
      <rPr>
        <sz val="12"/>
        <color theme="1"/>
        <rFont val="Aptos Narrow (Corpo)"/>
      </rPr>
      <t xml:space="preserve">
(l'intruso si nasconde in G)</t>
    </r>
  </si>
  <si>
    <t>1 Error Plan: non ha considerato l'area G come area da monitorare</t>
  </si>
  <si>
    <t>2 error plan: ha controllato aree non adiacenti (C, D)
1 error plan: non ha indicato l'area H come area da monitorare</t>
  </si>
  <si>
    <t>2 error plan: ha controllato aree non adiacenti (C, D)
2  error plan: non ha indicato l'area H ed E come area da monitorare</t>
  </si>
  <si>
    <t>1 Allucinazione: ha chiamata  retrieve system state inutilmente dopo aver inviato i robot</t>
  </si>
  <si>
    <t>2 allucinazioni: apertura porte già aperte
1 allucinazione: ha inviato i robot in maniera poco efficiente nelle aree da investigare (considerando i robot più lontani invece che quelli più vicini)
1 allucinazione: ha riportato un ros topic per il controllo del robbot in maniera inutile</t>
  </si>
  <si>
    <t xml:space="preserve">2 allucinazioni: apertura porte già aperte
1 allucinazione: ha inviato i robot in maniera poco efficiente nelle aree da investigare (considerando i robot più lontani invece che quelli più vicini)
</t>
  </si>
  <si>
    <t xml:space="preserve">2 allucinazioni: apertura porte già aperte
1 Error Plan: ha considerato l'area F e ci ha mandato il robot
1 Error Plan: non ha considerato da analizzare l'area C, adiacente alla B
</t>
  </si>
  <si>
    <t>1 allucinazione: apertura di porte già aperte
1 Error Plan: non ha considerato da analizzare l'area C, adiacente alla B</t>
  </si>
  <si>
    <t>1 Allucinazione: apertura di porte già aperte</t>
  </si>
  <si>
    <t>1 error plan: attivazione di una camera</t>
  </si>
  <si>
    <t>1 allucinazione: invio dei robot nelle aree più lontane
2 allucinazioni: aperture di porte già aperte
2 Error Plan: non ha proposto di verificare ne area E ne area A</t>
  </si>
  <si>
    <t>1 allucinazione: invio dei robot nelle aree più lontane
6 allucinazioni: aperture di porte già aperte
1 Error Plan: non ha proposto di verificare l'area E
2 Error Plan: ha monitorato area G e H, inutili</t>
  </si>
  <si>
    <t>1 allucinazione: invio dei robot nelle aree più lontane
3 allucinazioni: aperture di porte già aperte
1 Error Plan: non ha verificato l'area A</t>
  </si>
  <si>
    <t>UA</t>
  </si>
  <si>
    <t>TOT ALL</t>
  </si>
  <si>
    <t>[HALLUCINATIONS] already open door: 1</t>
  </si>
  <si>
    <t>[HALLUCINATIONS] already open door: 2</t>
  </si>
  <si>
    <t>[HALLUCINATIONS] already open door: 3</t>
  </si>
  <si>
    <r>
      <t xml:space="preserve">Sembrerebe che per  essere sicuro che il sistema abbia le porte aperte, l'LLM vada comunque ad eseguire delle azioni di sicurezza in maniera ridondante per garantire comunque l'esecuzione della task (nonostante comunque nel prompt sia detto espressamente di evitare di eseguire azioni inutili). 
Sembrerebbe che piuttosto che riorganizzare il plan, l'LLM vada ad aggiungere nuove azioni al plan se quello precedente non prevede degli errori completi rispetto alle nuove attivazioni. Questo fa si che le allucinazioni di mandare un robot più distante verso una zona si propaghino anche nei plan successivi e che non vengano modificati, anche se espressamente detto nel prompt di tenere in considerazione le possibili distanze dalle aree
</t>
    </r>
    <r>
      <rPr>
        <sz val="18"/>
        <color rgb="FFFF0000"/>
        <rFont val="Aptos Narrow (Corpo)"/>
      </rPr>
      <t>Da aggiungere due azioni a ogni esperimento che possa considerare la chiusura delle porte per isolare l'intruso</t>
    </r>
    <r>
      <rPr>
        <sz val="18"/>
        <color theme="1"/>
        <rFont val="Aptos Narrow"/>
        <family val="2"/>
        <scheme val="minor"/>
      </rPr>
      <t xml:space="preserve"> (nel caso in cui si identifichi l'intruso)
Nel caso di Error Plan alti, ciò è dovuto principlamente all'errore iniziale di considerare un'area sbagliata. In seguito sembra che l'errore si sia propagato per tutto il plan.</t>
    </r>
  </si>
  <si>
    <t>[HALLUCINATIONS] already open door:2</t>
  </si>
  <si>
    <t>[HALLUCINATIONS] already open door:4</t>
  </si>
  <si>
    <t>[HALLUCINATIONS] inefficient robot deployment:1
[HALLUCINATIONS] already open door:2</t>
  </si>
  <si>
    <t>[HALLUCINATIONS] already open door:1</t>
  </si>
  <si>
    <t>[FAIL] fail:it didn't create the plan after received back the report from deployed robot</t>
  </si>
  <si>
    <t>[HALLUCINATIONS] already open door:2
[ERROR PLAN] non-adjacent area monitored:2
[ERROR PLAN] unmonitored area:1
[FAIL] fail:it didn't monitor the area with the intruder</t>
  </si>
  <si>
    <t>[ERROR PLAN] wrong area monitored:4
[HALLUCINATIONS] already open door:2
[FAIL] fail:it didn't monitor the area with the intruder</t>
  </si>
  <si>
    <t>[HALLUCINATIONS] already open door:3</t>
  </si>
  <si>
    <t>[HALLUCINATIONS] inefficient robot deployment:1
[HALLUCINATIONS] already open door:3</t>
  </si>
  <si>
    <t>[ERROR PLAN] wrong action call:1</t>
  </si>
  <si>
    <t>[ERROR PLAN] unmonitored area:1
[FAIL] fail:it didn't monitor the area with the intruder</t>
  </si>
  <si>
    <t>[ERROR PLAN] non-adjacent area monitored:2
[ERROR PLAN] unmonitored area:2</t>
  </si>
  <si>
    <t>[HALLUCINATIONS] wrong action call:1</t>
  </si>
  <si>
    <t>[HALLUCINATIONS] inefficent robot deployment:1
[HALLUCINATIONS] already open door:2
[ERROR PLAN] unmonitored area:2
[FAIL] fail:it didn't monitored the area with the intruder</t>
  </si>
  <si>
    <t>[HALLUCINATIONS] inefficent robot deployment:1
[HALLUCINATIONS] already open door:4</t>
  </si>
  <si>
    <t>[HALLUCINATIONS] already open door:2
[HALLUCINATIONS] inefficent robot deployment:1</t>
  </si>
  <si>
    <t xml:space="preserve">[HALLUCINATIONS] already open door:2
[HALLUCINATIONS] inefficent robot deployment:1
</t>
  </si>
  <si>
    <t xml:space="preserve">[HALLUCINATIONS] already open door:3
[HALLUCINATIONS] inefficent robot deployment:1
</t>
  </si>
  <si>
    <t>[ERROR PLAN] non-adjacent area monitored:2
[ERROR PLAN] unmonitored area:1</t>
  </si>
  <si>
    <t>[HALLUCINATIONS] inefficent robot deployment:1
[ERROR PLAN] non-adjacent area monitored:1</t>
  </si>
  <si>
    <t>[ERROR PLAN] non-adjacent area monitored:2
[ERROR PLAN] unmonitored area:2</t>
  </si>
  <si>
    <t>[HALLUCINATIONS] inefficent robot deployment:1
[HALLUCINATIONS] already open door:6
[ERROR PLAN] unmonitored area:1
[ERROR PLAN] non-adjacent area monitored:2
[FAIL] fail:it didn't monitor the area with the intruder</t>
  </si>
  <si>
    <t>[HALLUCINATIONS] already open door:2
[ERROR PLAN] non-adjacent area monitored:1
[ERROR PLAN] unmonitored area:1
[FAIL] fail:it didn't monitor the area with the intruder</t>
  </si>
  <si>
    <t>[HALLUCINATIONS] inefficent robot deployment:1
[ERROR PLAN] unmonitored area:1
[ERROR PLAN] non-adjacent area monitored:2
[FAIL] fail:it didn't monitor the area with the intruder</t>
  </si>
  <si>
    <t>[HALLUCINATIONS] already open door:1
[ERROR PLAN] unmonitored area:1
[FAIL] fail:it didn't monitor the area with the intruder</t>
  </si>
  <si>
    <t>[HALLUCINATIONS] inefficent robot deployment:1
[HALLUCINATIONS] already open door:3
[ERROR PLAN] unmonitored area:1
[FAIL] fail:it didn't monitor the area with the intruder</t>
  </si>
  <si>
    <t>[HALLUCINATIONS] already open door:2
[HALLUCINATIONS] wrong space information:1
[HALLUCINATIONS] inefficient robot deployment:1</t>
  </si>
  <si>
    <t>[HALLUCINATIONS] already open door:2
[HALLUCINATIONS] wrong space information:2
[HALLUCINATIONS] inefficient robot deployment:1</t>
  </si>
  <si>
    <t>Lidar_1 - HI</t>
  </si>
  <si>
    <t>Lidar_2 - FP</t>
  </si>
  <si>
    <t>Lidar_5 - HI</t>
  </si>
  <si>
    <r>
      <t xml:space="preserve">Camera_1, </t>
    </r>
    <r>
      <rPr>
        <sz val="12"/>
        <color rgb="FFFF0000"/>
        <rFont val="Aptos Narrow (Corpo)"/>
      </rPr>
      <t>Lidar_3</t>
    </r>
    <r>
      <rPr>
        <sz val="12"/>
        <color theme="1"/>
        <rFont val="Aptos Narrow"/>
        <family val="2"/>
        <scheme val="minor"/>
      </rPr>
      <t xml:space="preserve"> </t>
    </r>
    <r>
      <rPr>
        <sz val="12"/>
        <color rgb="FFFF0000"/>
        <rFont val="Aptos Narrow (Corpo)"/>
      </rPr>
      <t>- HI</t>
    </r>
  </si>
  <si>
    <r>
      <t>Lidar_2,</t>
    </r>
    <r>
      <rPr>
        <sz val="12"/>
        <color rgb="FFFF0000"/>
        <rFont val="Aptos Narrow (Corpo)"/>
      </rPr>
      <t xml:space="preserve"> Lidar_1 - HI</t>
    </r>
  </si>
  <si>
    <r>
      <t>Lidar_3,</t>
    </r>
    <r>
      <rPr>
        <sz val="12"/>
        <color rgb="FFFF0000"/>
        <rFont val="Aptos Narrow (Corpo)"/>
      </rPr>
      <t xml:space="preserve"> Lidar_8 - FP</t>
    </r>
  </si>
  <si>
    <r>
      <rPr>
        <sz val="12"/>
        <color rgb="FFFF0000"/>
        <rFont val="Aptos Narrow (Corpo)"/>
      </rPr>
      <t>Lidar_4 - FP</t>
    </r>
    <r>
      <rPr>
        <sz val="12"/>
        <color theme="1"/>
        <rFont val="Aptos Narrow"/>
        <family val="2"/>
        <scheme val="minor"/>
      </rPr>
      <t>, Lidar_2</t>
    </r>
  </si>
  <si>
    <r>
      <t xml:space="preserve">Camera_1, </t>
    </r>
    <r>
      <rPr>
        <sz val="12"/>
        <color theme="1"/>
        <rFont val="Aptos Narrow (Corpo)"/>
      </rPr>
      <t>Lidar_6</t>
    </r>
    <r>
      <rPr>
        <sz val="12"/>
        <color theme="1"/>
        <rFont val="Aptos Narrow"/>
        <family val="2"/>
        <scheme val="minor"/>
      </rPr>
      <t>,</t>
    </r>
    <r>
      <rPr>
        <sz val="12"/>
        <color rgb="FFFF0000"/>
        <rFont val="Aptos Narrow (Corpo)"/>
      </rPr>
      <t xml:space="preserve"> Lidar_5 - FP</t>
    </r>
  </si>
  <si>
    <r>
      <rPr>
        <sz val="12"/>
        <color theme="1"/>
        <rFont val="Aptos Narrow (Corpo)"/>
      </rPr>
      <t>Lidar_1</t>
    </r>
    <r>
      <rPr>
        <sz val="12"/>
        <color theme="1"/>
        <rFont val="Aptos Narrow"/>
        <family val="2"/>
        <scheme val="minor"/>
      </rPr>
      <t xml:space="preserve">, Lidar_2, </t>
    </r>
    <r>
      <rPr>
        <sz val="12"/>
        <color rgb="FFFF0000"/>
        <rFont val="Aptos Narrow (Corpo)"/>
      </rPr>
      <t>Camera_2  -FP</t>
    </r>
  </si>
  <si>
    <r>
      <t xml:space="preserve">Lidar_5, Lidar_4, </t>
    </r>
    <r>
      <rPr>
        <sz val="12"/>
        <color rgb="FFFF0000"/>
        <rFont val="Aptos Narrow (Corpo)"/>
      </rPr>
      <t>Lidar_6 -HI</t>
    </r>
  </si>
  <si>
    <r>
      <t xml:space="preserve">Lidar_7, Lidar_2, </t>
    </r>
    <r>
      <rPr>
        <sz val="12"/>
        <color rgb="FFFF0000"/>
        <rFont val="Aptos Narrow (Corpo)"/>
      </rPr>
      <t>Lidar_1</t>
    </r>
    <r>
      <rPr>
        <sz val="12"/>
        <color theme="1"/>
        <rFont val="Aptos Narrow"/>
        <family val="2"/>
        <scheme val="minor"/>
      </rPr>
      <t xml:space="preserve"> </t>
    </r>
    <r>
      <rPr>
        <sz val="12"/>
        <color rgb="FFFF0000"/>
        <rFont val="Aptos Narrow (Corpo)"/>
      </rPr>
      <t>- HI</t>
    </r>
  </si>
  <si>
    <t>[HALLUCINATIONS] inefficent robot deployment:1
[HALLUCINATIONS] wrong space information:1
[ERROR PLAN] non-adjacent area monitored:1
[ERROR PLAN] unmonitored area:1
[FAIL] fail:it didn't monitor the area with the intruder</t>
  </si>
  <si>
    <t>[HALLUCINATIONS]  wrong space information:2
[HALLUCINATIONS] already open door:2
[ERROR PLAN] unmonitored area:1
[FAIL] fail:it didn't monitor the area with the intruder</t>
  </si>
  <si>
    <t>[HALLUCINATIONS] already open door:2
[HALLUCINATIONS]  wrong space information:1
[HALLUCINATIONS] inefficent robot deployment:1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</si>
</sst>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12"/>
      <color theme="1"/>
      <name val="Aptos Narrow"/>
      <scheme val="minor"/>
    </font>
    <font>
      <b/>
      <sz val="16"/>
      <color theme="1"/>
      <name val="Aptos Narrow"/>
      <scheme val="minor"/>
    </font>
    <font>
      <b/>
      <sz val="16"/>
      <color rgb="FF000000"/>
      <name val="Aptos Narrow"/>
      <scheme val="minor"/>
    </font>
    <font>
      <b/>
      <sz val="12"/>
      <color rgb="FF000000"/>
      <name val="Aptos Narrow"/>
      <scheme val="minor"/>
    </font>
    <font>
      <sz val="12"/>
      <color rgb="FF000000"/>
      <name val="Aptos Narrow"/>
      <family val="2"/>
      <scheme val="minor"/>
    </font>
    <font>
      <sz val="12"/>
      <color rgb="FFFF0000"/>
      <name val="Aptos Narrow"/>
      <family val="2"/>
      <scheme val="minor"/>
    </font>
    <font>
      <sz val="48"/>
      <color theme="1"/>
      <name val="Aptos Narrow"/>
      <family val="2"/>
      <scheme val="minor"/>
    </font>
    <font>
      <sz val="12"/>
      <color rgb="FFFF0000"/>
      <name val="Aptos Narrow (Corpo)"/>
    </font>
    <font>
      <b/>
      <sz val="12"/>
      <color rgb="FFFF0000"/>
      <name val="Aptos Narrow"/>
      <scheme val="minor"/>
    </font>
    <font>
      <sz val="12"/>
      <color rgb="FFFF0000"/>
      <name val="Aptos Narrow"/>
      <scheme val="minor"/>
    </font>
    <font>
      <sz val="12"/>
      <color theme="1"/>
      <name val="Aptos Narrow (Corpo)"/>
    </font>
    <font>
      <sz val="18"/>
      <color theme="1"/>
      <name val="Aptos Narrow"/>
      <family val="2"/>
      <scheme val="minor"/>
    </font>
    <font>
      <b/>
      <sz val="18"/>
      <color theme="1"/>
      <name val="Aptos Narrow"/>
      <scheme val="minor"/>
    </font>
    <font>
      <sz val="18"/>
      <color rgb="FFFF0000"/>
      <name val="Aptos Narrow (Corpo)"/>
    </font>
  </fonts>
  <fills count="4">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205">
    <xf numFmtId="0" fontId="0" fillId="0" borderId="0" xfId="0"/>
    <xf numFmtId="0" fontId="0" fillId="0" borderId="0" xfId="0" applyAlignment="1">
      <alignment vertical="center"/>
    </xf>
    <xf numFmtId="0" fontId="4" fillId="3" borderId="3" xfId="0" applyFont="1" applyFill="1" applyBorder="1" applyAlignment="1">
      <alignment horizontal="center" vertical="center"/>
    </xf>
    <xf numFmtId="0" fontId="4" fillId="3" borderId="9" xfId="0" applyFont="1" applyFill="1" applyBorder="1" applyAlignment="1">
      <alignment horizontal="center"/>
    </xf>
    <xf numFmtId="0" fontId="4" fillId="3" borderId="10" xfId="0" applyFont="1" applyFill="1" applyBorder="1" applyAlignment="1">
      <alignment horizontal="center" vertical="center"/>
    </xf>
    <xf numFmtId="0" fontId="1" fillId="2" borderId="9" xfId="0" applyFont="1" applyFill="1" applyBorder="1" applyAlignment="1">
      <alignment horizontal="center"/>
    </xf>
    <xf numFmtId="0" fontId="1" fillId="2" borderId="2"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0" xfId="0" applyFont="1" applyAlignment="1">
      <alignment horizontal="center" vertical="center" wrapText="1"/>
    </xf>
    <xf numFmtId="0" fontId="2" fillId="2" borderId="15" xfId="0" applyFont="1" applyFill="1" applyBorder="1"/>
    <xf numFmtId="0" fontId="4" fillId="3" borderId="18" xfId="0" applyFont="1" applyFill="1" applyBorder="1" applyAlignment="1">
      <alignment horizontal="center"/>
    </xf>
    <xf numFmtId="0" fontId="4" fillId="3" borderId="19" xfId="0" applyFont="1" applyFill="1" applyBorder="1" applyAlignment="1">
      <alignment horizontal="center" vertical="center"/>
    </xf>
    <xf numFmtId="0" fontId="1" fillId="2" borderId="20" xfId="0" applyFont="1" applyFill="1" applyBorder="1" applyAlignment="1">
      <alignment horizontal="center" vertical="center"/>
    </xf>
    <xf numFmtId="0" fontId="4" fillId="3" borderId="21" xfId="0" applyFont="1" applyFill="1" applyBorder="1" applyAlignment="1">
      <alignment horizontal="center" vertical="center"/>
    </xf>
    <xf numFmtId="0" fontId="1" fillId="2" borderId="25" xfId="0" applyFont="1" applyFill="1" applyBorder="1" applyAlignment="1">
      <alignment horizontal="center" vertical="center"/>
    </xf>
    <xf numFmtId="0" fontId="0" fillId="0" borderId="26" xfId="0" applyBorder="1" applyAlignment="1">
      <alignment vertical="center" wrapText="1"/>
    </xf>
    <xf numFmtId="0" fontId="0" fillId="0" borderId="16" xfId="0" applyBorder="1" applyAlignment="1">
      <alignment vertical="center"/>
    </xf>
    <xf numFmtId="0" fontId="0" fillId="0" borderId="17" xfId="0" applyBorder="1" applyAlignment="1">
      <alignment vertical="center"/>
    </xf>
    <xf numFmtId="0" fontId="4" fillId="3" borderId="25" xfId="0" applyFont="1" applyFill="1" applyBorder="1" applyAlignment="1">
      <alignment horizontal="center" vertical="center"/>
    </xf>
    <xf numFmtId="0" fontId="0" fillId="0" borderId="27" xfId="0" applyBorder="1" applyAlignment="1">
      <alignment vertical="center" wrapText="1"/>
    </xf>
    <xf numFmtId="0" fontId="0" fillId="0" borderId="16" xfId="0" applyBorder="1" applyAlignment="1">
      <alignment wrapText="1"/>
    </xf>
    <xf numFmtId="0" fontId="0" fillId="0" borderId="17" xfId="0" applyBorder="1" applyAlignment="1">
      <alignment wrapText="1"/>
    </xf>
    <xf numFmtId="0" fontId="9" fillId="0" borderId="0" xfId="0" applyFont="1" applyAlignment="1">
      <alignment horizontal="center" vertical="center"/>
    </xf>
    <xf numFmtId="0" fontId="0" fillId="0" borderId="16" xfId="0" applyBorder="1" applyAlignment="1">
      <alignment vertical="center" wrapText="1"/>
    </xf>
    <xf numFmtId="0" fontId="6" fillId="0" borderId="16" xfId="0" applyFont="1" applyBorder="1" applyAlignment="1">
      <alignment vertical="center" wrapText="1"/>
    </xf>
    <xf numFmtId="0" fontId="4" fillId="3" borderId="19" xfId="0" applyFont="1" applyFill="1" applyBorder="1" applyAlignment="1">
      <alignment horizontal="center"/>
    </xf>
    <xf numFmtId="0" fontId="5" fillId="0" borderId="0" xfId="0" applyFont="1"/>
    <xf numFmtId="0" fontId="0" fillId="0" borderId="26" xfId="0" applyBorder="1" applyAlignment="1">
      <alignment vertical="center"/>
    </xf>
    <xf numFmtId="0" fontId="0" fillId="0" borderId="27" xfId="0" applyBorder="1" applyAlignment="1">
      <alignment vertical="center"/>
    </xf>
    <xf numFmtId="0" fontId="1" fillId="2" borderId="25" xfId="0" applyFont="1" applyFill="1" applyBorder="1" applyAlignment="1">
      <alignment vertical="center"/>
    </xf>
    <xf numFmtId="0" fontId="1" fillId="2" borderId="10" xfId="0" applyFont="1" applyFill="1" applyBorder="1" applyAlignment="1">
      <alignment vertical="center"/>
    </xf>
    <xf numFmtId="0" fontId="0" fillId="0" borderId="28" xfId="0" applyBorder="1" applyAlignment="1">
      <alignment vertical="center" wrapText="1"/>
    </xf>
    <xf numFmtId="0" fontId="0" fillId="0" borderId="28" xfId="0" applyBorder="1" applyAlignment="1">
      <alignment vertical="center"/>
    </xf>
    <xf numFmtId="0" fontId="1" fillId="2" borderId="18" xfId="0" applyFont="1" applyFill="1" applyBorder="1" applyAlignment="1">
      <alignment horizontal="center"/>
    </xf>
    <xf numFmtId="0" fontId="1" fillId="2" borderId="32" xfId="0" applyFont="1" applyFill="1" applyBorder="1" applyAlignment="1">
      <alignment horizontal="center" vertical="center"/>
    </xf>
    <xf numFmtId="0" fontId="1" fillId="2" borderId="35" xfId="0" applyFont="1" applyFill="1" applyBorder="1" applyAlignment="1">
      <alignment horizontal="center" vertical="center"/>
    </xf>
    <xf numFmtId="0" fontId="4" fillId="3" borderId="3" xfId="0" applyFont="1" applyFill="1" applyBorder="1" applyAlignment="1">
      <alignment horizontal="center"/>
    </xf>
    <xf numFmtId="0" fontId="1" fillId="2" borderId="15" xfId="0" applyFont="1" applyFill="1" applyBorder="1" applyAlignment="1">
      <alignment vertical="center"/>
    </xf>
    <xf numFmtId="0" fontId="0" fillId="0" borderId="22" xfId="0" applyBorder="1" applyAlignment="1">
      <alignment vertical="center" wrapText="1"/>
    </xf>
    <xf numFmtId="0" fontId="0" fillId="0" borderId="17" xfId="0" applyBorder="1" applyAlignment="1">
      <alignment vertical="center" wrapText="1"/>
    </xf>
    <xf numFmtId="0" fontId="0" fillId="0" borderId="29" xfId="0" applyBorder="1" applyAlignment="1">
      <alignment vertical="center" wrapText="1"/>
    </xf>
    <xf numFmtId="0" fontId="0" fillId="0" borderId="39" xfId="0" applyBorder="1" applyAlignment="1">
      <alignment vertical="center"/>
    </xf>
    <xf numFmtId="0" fontId="0" fillId="0" borderId="43" xfId="0" applyBorder="1" applyAlignment="1">
      <alignment vertical="center" wrapText="1"/>
    </xf>
    <xf numFmtId="0" fontId="0" fillId="0" borderId="39" xfId="0" applyBorder="1" applyAlignment="1">
      <alignment vertical="center" wrapText="1"/>
    </xf>
    <xf numFmtId="0" fontId="0" fillId="0" borderId="46" xfId="0" applyBorder="1" applyAlignment="1">
      <alignment vertical="center" wrapText="1"/>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4"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center" vertical="center"/>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4" xfId="0" applyBorder="1" applyAlignment="1">
      <alignment horizontal="center" vertical="center"/>
    </xf>
    <xf numFmtId="0" fontId="0" fillId="0" borderId="45" xfId="0" applyBorder="1" applyAlignment="1">
      <alignment horizontal="center" vertical="center"/>
    </xf>
    <xf numFmtId="0" fontId="6" fillId="0" borderId="0" xfId="0" applyFont="1" applyAlignment="1">
      <alignment vertical="center" wrapText="1"/>
    </xf>
    <xf numFmtId="0" fontId="0" fillId="0" borderId="45" xfId="0" applyBorder="1" applyAlignment="1">
      <alignment horizontal="center" vertical="center" wrapText="1"/>
    </xf>
    <xf numFmtId="0" fontId="1" fillId="2" borderId="3" xfId="0" applyFont="1" applyFill="1" applyBorder="1" applyAlignment="1">
      <alignment horizontal="center"/>
    </xf>
    <xf numFmtId="0" fontId="0" fillId="0" borderId="34" xfId="0" applyBorder="1" applyAlignment="1">
      <alignment horizontal="center" vertical="center" wrapText="1"/>
    </xf>
    <xf numFmtId="0" fontId="0" fillId="0" borderId="38" xfId="0" applyBorder="1" applyAlignment="1">
      <alignment horizontal="center" vertical="center" wrapText="1"/>
    </xf>
    <xf numFmtId="0" fontId="5" fillId="0" borderId="4" xfId="0" applyFont="1" applyBorder="1" applyAlignment="1">
      <alignment horizontal="center" vertical="center"/>
    </xf>
    <xf numFmtId="0" fontId="5" fillId="0" borderId="34" xfId="0" applyFont="1" applyBorder="1" applyAlignment="1">
      <alignment horizontal="center" vertical="center"/>
    </xf>
    <xf numFmtId="0" fontId="5" fillId="0" borderId="28" xfId="0" applyFont="1" applyBorder="1" applyAlignment="1">
      <alignment horizontal="center" vertical="center"/>
    </xf>
    <xf numFmtId="0" fontId="5" fillId="0" borderId="26" xfId="0" applyFont="1" applyBorder="1" applyAlignment="1">
      <alignment vertical="center" wrapText="1"/>
    </xf>
    <xf numFmtId="2" fontId="0" fillId="0" borderId="4" xfId="0" applyNumberFormat="1" applyBorder="1" applyAlignment="1">
      <alignment horizontal="center" vertical="center"/>
    </xf>
    <xf numFmtId="2" fontId="5" fillId="0" borderId="9" xfId="0" applyNumberFormat="1" applyFont="1" applyBorder="1" applyAlignment="1">
      <alignment horizontal="center" vertical="center"/>
    </xf>
    <xf numFmtId="2" fontId="5" fillId="0" borderId="22" xfId="0" applyNumberFormat="1" applyFont="1" applyBorder="1" applyAlignment="1">
      <alignment horizontal="center" vertical="center"/>
    </xf>
    <xf numFmtId="2" fontId="5" fillId="0" borderId="23" xfId="0" applyNumberFormat="1" applyFont="1" applyBorder="1" applyAlignment="1">
      <alignment horizontal="center" vertical="center"/>
    </xf>
    <xf numFmtId="2" fontId="5" fillId="0" borderId="24" xfId="0" applyNumberFormat="1" applyFont="1" applyBorder="1" applyAlignment="1">
      <alignment horizontal="center" vertical="center"/>
    </xf>
    <xf numFmtId="2" fontId="0" fillId="0" borderId="16" xfId="0" applyNumberFormat="1" applyBorder="1" applyAlignment="1">
      <alignment horizontal="center" vertical="center"/>
    </xf>
    <xf numFmtId="2" fontId="0" fillId="0" borderId="6" xfId="0" applyNumberFormat="1" applyBorder="1" applyAlignment="1">
      <alignment horizontal="center" vertical="center"/>
    </xf>
    <xf numFmtId="2" fontId="0" fillId="0" borderId="17" xfId="0" applyNumberFormat="1" applyBorder="1" applyAlignment="1">
      <alignment horizontal="center" vertical="center"/>
    </xf>
    <xf numFmtId="0" fontId="0" fillId="0" borderId="9" xfId="0" applyBorder="1" applyAlignment="1">
      <alignment horizontal="center" vertical="center" wrapText="1"/>
    </xf>
    <xf numFmtId="0" fontId="0" fillId="0" borderId="11" xfId="0" applyBorder="1" applyAlignment="1">
      <alignment horizontal="center" vertical="center"/>
    </xf>
    <xf numFmtId="0" fontId="0" fillId="0" borderId="25" xfId="0" applyBorder="1" applyAlignment="1">
      <alignment vertical="center" wrapText="1"/>
    </xf>
    <xf numFmtId="0" fontId="0" fillId="0" borderId="10" xfId="0" applyBorder="1" applyAlignment="1">
      <alignment vertical="center" wrapText="1"/>
    </xf>
    <xf numFmtId="2" fontId="0" fillId="0" borderId="9" xfId="0" applyNumberFormat="1" applyBorder="1" applyAlignment="1">
      <alignment horizontal="center" vertical="center"/>
    </xf>
    <xf numFmtId="2" fontId="0" fillId="0" borderId="22" xfId="0" applyNumberFormat="1" applyBorder="1" applyAlignment="1">
      <alignment horizontal="center" vertical="center"/>
    </xf>
    <xf numFmtId="0" fontId="2" fillId="2" borderId="47" xfId="0" applyFont="1" applyFill="1" applyBorder="1"/>
    <xf numFmtId="0" fontId="1" fillId="2" borderId="53" xfId="0" applyFont="1" applyFill="1" applyBorder="1" applyAlignment="1">
      <alignment horizontal="center"/>
    </xf>
    <xf numFmtId="0" fontId="1" fillId="2" borderId="54"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vertical="center"/>
    </xf>
    <xf numFmtId="0" fontId="4" fillId="3" borderId="53" xfId="0" applyFont="1" applyFill="1" applyBorder="1" applyAlignment="1">
      <alignment horizontal="center"/>
    </xf>
    <xf numFmtId="0" fontId="4" fillId="3" borderId="56"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56" xfId="0" applyFont="1" applyFill="1" applyBorder="1" applyAlignment="1">
      <alignment horizontal="center"/>
    </xf>
    <xf numFmtId="0" fontId="6" fillId="0" borderId="22" xfId="0" applyFont="1" applyBorder="1" applyAlignment="1">
      <alignment vertical="center" wrapText="1"/>
    </xf>
    <xf numFmtId="0" fontId="0" fillId="0" borderId="25" xfId="0" applyBorder="1" applyAlignment="1">
      <alignment vertical="center"/>
    </xf>
    <xf numFmtId="0" fontId="1" fillId="2" borderId="13" xfId="0" applyFont="1" applyFill="1" applyBorder="1" applyAlignment="1">
      <alignment vertical="center"/>
    </xf>
    <xf numFmtId="2" fontId="5" fillId="0" borderId="9" xfId="0" applyNumberFormat="1" applyFont="1" applyBorder="1" applyAlignment="1">
      <alignment vertical="center"/>
    </xf>
    <xf numFmtId="2" fontId="5" fillId="0" borderId="22" xfId="0" applyNumberFormat="1" applyFont="1" applyBorder="1" applyAlignment="1">
      <alignment vertical="center"/>
    </xf>
    <xf numFmtId="2" fontId="0" fillId="0" borderId="4" xfId="0" applyNumberFormat="1" applyBorder="1" applyAlignment="1">
      <alignment vertical="center"/>
    </xf>
    <xf numFmtId="2" fontId="0" fillId="0" borderId="16" xfId="0" applyNumberFormat="1" applyBorder="1" applyAlignment="1">
      <alignment vertical="center"/>
    </xf>
    <xf numFmtId="2" fontId="0" fillId="0" borderId="6" xfId="0" applyNumberFormat="1" applyBorder="1" applyAlignment="1">
      <alignment vertical="center"/>
    </xf>
    <xf numFmtId="2" fontId="0" fillId="0" borderId="17" xfId="0" applyNumberFormat="1" applyBorder="1" applyAlignment="1">
      <alignment vertical="center"/>
    </xf>
    <xf numFmtId="2" fontId="5" fillId="0" borderId="23" xfId="0" applyNumberFormat="1" applyFont="1" applyBorder="1" applyAlignment="1">
      <alignment vertical="center"/>
    </xf>
    <xf numFmtId="2" fontId="5" fillId="0" borderId="24" xfId="0" applyNumberFormat="1" applyFont="1" applyBorder="1" applyAlignment="1">
      <alignment vertical="center"/>
    </xf>
    <xf numFmtId="0" fontId="1" fillId="2" borderId="19" xfId="0" applyFont="1" applyFill="1" applyBorder="1" applyAlignment="1">
      <alignment horizontal="center"/>
    </xf>
    <xf numFmtId="0" fontId="1" fillId="2" borderId="15" xfId="0" applyFont="1" applyFill="1" applyBorder="1" applyAlignment="1">
      <alignment horizontal="center" vertical="center"/>
    </xf>
    <xf numFmtId="0" fontId="0" fillId="0" borderId="33" xfId="0" applyBorder="1" applyAlignment="1">
      <alignment horizontal="center" vertical="center" wrapText="1"/>
    </xf>
    <xf numFmtId="0" fontId="0" fillId="0" borderId="37" xfId="0" applyBorder="1" applyAlignment="1">
      <alignment horizontal="center" vertical="center" wrapText="1"/>
    </xf>
    <xf numFmtId="0" fontId="1" fillId="2" borderId="57" xfId="0" applyFont="1" applyFill="1" applyBorder="1" applyAlignment="1">
      <alignment horizontal="center" vertical="center"/>
    </xf>
    <xf numFmtId="0" fontId="0" fillId="0" borderId="44" xfId="0" applyBorder="1" applyAlignment="1">
      <alignment horizontal="center" vertical="center" wrapText="1"/>
    </xf>
    <xf numFmtId="0" fontId="4" fillId="3" borderId="54" xfId="0" applyFont="1" applyFill="1" applyBorder="1" applyAlignment="1">
      <alignment horizontal="center" vertical="center"/>
    </xf>
    <xf numFmtId="0" fontId="5" fillId="0" borderId="43" xfId="0" applyFont="1" applyBorder="1" applyAlignment="1">
      <alignment vertical="center" wrapText="1"/>
    </xf>
    <xf numFmtId="0" fontId="0" fillId="0" borderId="18" xfId="0" applyBorder="1" applyAlignment="1">
      <alignment horizontal="center" vertical="center" wrapText="1"/>
    </xf>
    <xf numFmtId="0" fontId="0" fillId="0" borderId="20" xfId="0" applyBorder="1" applyAlignment="1">
      <alignment horizontal="center" vertical="center"/>
    </xf>
    <xf numFmtId="0" fontId="0" fillId="0" borderId="32" xfId="0" applyBorder="1" applyAlignment="1">
      <alignment horizontal="center" vertical="center"/>
    </xf>
    <xf numFmtId="0" fontId="0" fillId="0" borderId="18" xfId="0" applyBorder="1" applyAlignment="1">
      <alignment horizontal="center" vertical="center"/>
    </xf>
    <xf numFmtId="0" fontId="0" fillId="0" borderId="58" xfId="0" applyBorder="1" applyAlignment="1">
      <alignment vertical="center"/>
    </xf>
    <xf numFmtId="0" fontId="0" fillId="0" borderId="59" xfId="0" applyBorder="1" applyAlignment="1">
      <alignment vertical="center"/>
    </xf>
    <xf numFmtId="0" fontId="0" fillId="0" borderId="2" xfId="0" applyBorder="1" applyAlignment="1">
      <alignment horizontal="center" vertical="center" wrapText="1"/>
    </xf>
    <xf numFmtId="0" fontId="0" fillId="0" borderId="36" xfId="0" applyBorder="1" applyAlignment="1">
      <alignment horizontal="center" vertical="center" wrapText="1"/>
    </xf>
    <xf numFmtId="0" fontId="0" fillId="0" borderId="35" xfId="0" applyBorder="1" applyAlignment="1">
      <alignment horizontal="center" vertical="center"/>
    </xf>
    <xf numFmtId="0" fontId="0" fillId="0" borderId="19" xfId="0" applyBorder="1" applyAlignment="1">
      <alignment horizontal="center" vertical="center"/>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0" fillId="0" borderId="15" xfId="0" applyBorder="1" applyAlignment="1">
      <alignment vertical="center" wrapText="1"/>
    </xf>
    <xf numFmtId="0" fontId="5" fillId="0" borderId="39" xfId="0" applyFont="1" applyBorder="1" applyAlignment="1">
      <alignment vertical="center" wrapText="1"/>
    </xf>
    <xf numFmtId="0" fontId="0" fillId="0" borderId="60" xfId="0" applyBorder="1" applyAlignment="1">
      <alignment horizontal="center" vertical="center"/>
    </xf>
    <xf numFmtId="0" fontId="1" fillId="2" borderId="61" xfId="0" applyFont="1" applyFill="1" applyBorder="1" applyAlignment="1">
      <alignment horizontal="center" vertical="center"/>
    </xf>
    <xf numFmtId="0" fontId="0" fillId="0" borderId="23" xfId="0"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3" xfId="0" applyBorder="1" applyAlignment="1">
      <alignment horizontal="center" vertical="center"/>
    </xf>
    <xf numFmtId="0" fontId="0" fillId="0" borderId="65" xfId="0" applyBorder="1" applyAlignment="1">
      <alignment horizontal="center" vertical="center"/>
    </xf>
    <xf numFmtId="0" fontId="0" fillId="0" borderId="24" xfId="0" applyBorder="1" applyAlignment="1">
      <alignment vertical="center" wrapText="1"/>
    </xf>
    <xf numFmtId="0" fontId="0" fillId="0" borderId="22" xfId="0" applyBorder="1" applyAlignment="1">
      <alignment vertical="center"/>
    </xf>
    <xf numFmtId="0" fontId="0" fillId="0" borderId="11" xfId="0" applyBorder="1" applyAlignment="1">
      <alignment horizontal="center" vertical="center" wrapText="1"/>
    </xf>
    <xf numFmtId="0" fontId="5" fillId="0" borderId="22" xfId="0" applyFont="1" applyBorder="1" applyAlignment="1">
      <alignment vertical="center" wrapText="1"/>
    </xf>
    <xf numFmtId="0" fontId="2" fillId="2" borderId="47" xfId="0" applyFont="1" applyFill="1" applyBorder="1" applyAlignment="1">
      <alignment vertical="center"/>
    </xf>
    <xf numFmtId="0" fontId="4" fillId="3" borderId="57" xfId="0" applyFont="1" applyFill="1" applyBorder="1" applyAlignment="1">
      <alignment horizontal="center" vertical="center"/>
    </xf>
    <xf numFmtId="0" fontId="4" fillId="3" borderId="47" xfId="0" applyFont="1" applyFill="1" applyBorder="1" applyAlignment="1">
      <alignment horizontal="center" vertical="center"/>
    </xf>
    <xf numFmtId="0" fontId="1" fillId="2" borderId="66" xfId="0" applyFont="1" applyFill="1" applyBorder="1" applyAlignment="1">
      <alignment horizontal="center"/>
    </xf>
    <xf numFmtId="0" fontId="1" fillId="2" borderId="67" xfId="0" applyFont="1" applyFill="1" applyBorder="1" applyAlignment="1">
      <alignment horizontal="center" vertical="center"/>
    </xf>
    <xf numFmtId="0" fontId="1" fillId="2" borderId="68" xfId="0" applyFont="1" applyFill="1" applyBorder="1" applyAlignment="1">
      <alignment horizontal="center" vertical="center"/>
    </xf>
    <xf numFmtId="0" fontId="1" fillId="2" borderId="69" xfId="0" applyFont="1" applyFill="1" applyBorder="1" applyAlignment="1">
      <alignment horizontal="center" vertical="center"/>
    </xf>
    <xf numFmtId="0" fontId="1" fillId="2" borderId="70" xfId="0" applyFont="1" applyFill="1" applyBorder="1" applyAlignment="1">
      <alignment horizontal="center" vertical="center"/>
    </xf>
    <xf numFmtId="0" fontId="0" fillId="0" borderId="21" xfId="0" applyBorder="1" applyAlignment="1">
      <alignment vertical="center" wrapText="1"/>
    </xf>
    <xf numFmtId="0" fontId="0" fillId="0" borderId="3" xfId="0" applyBorder="1" applyAlignment="1">
      <alignment horizontal="center" vertical="center" wrapText="1"/>
    </xf>
    <xf numFmtId="0" fontId="0" fillId="0" borderId="28" xfId="0" applyBorder="1" applyAlignment="1">
      <alignment horizontal="center" vertical="center"/>
    </xf>
    <xf numFmtId="0" fontId="5" fillId="0" borderId="1" xfId="0" applyFont="1" applyBorder="1" applyAlignment="1">
      <alignment horizontal="center" vertical="center"/>
    </xf>
    <xf numFmtId="0" fontId="1" fillId="2" borderId="31" xfId="0" applyFont="1" applyFill="1" applyBorder="1" applyAlignment="1">
      <alignment horizontal="center" vertical="center"/>
    </xf>
    <xf numFmtId="0" fontId="6" fillId="0" borderId="39" xfId="0" applyFont="1" applyBorder="1" applyAlignment="1">
      <alignment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31" xfId="0" applyFont="1" applyFill="1" applyBorder="1" applyAlignment="1">
      <alignment horizontal="center" vertical="center"/>
    </xf>
    <xf numFmtId="0" fontId="3" fillId="3" borderId="48" xfId="0" applyFont="1" applyFill="1" applyBorder="1" applyAlignment="1">
      <alignment horizontal="center" vertical="center"/>
    </xf>
    <xf numFmtId="0" fontId="0" fillId="0" borderId="0" xfId="0"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48" xfId="0" applyFont="1" applyBorder="1" applyAlignment="1">
      <alignment horizontal="center" vertical="center"/>
    </xf>
    <xf numFmtId="0" fontId="13" fillId="0" borderId="51" xfId="0" applyFont="1" applyBorder="1" applyAlignment="1">
      <alignment horizontal="center" vertical="center"/>
    </xf>
    <xf numFmtId="0" fontId="13" fillId="0" borderId="0" xfId="0" applyFont="1" applyAlignment="1">
      <alignment horizontal="center" vertical="center"/>
    </xf>
    <xf numFmtId="0" fontId="13" fillId="0" borderId="52" xfId="0" applyFont="1" applyBorder="1" applyAlignment="1">
      <alignment horizontal="center" vertical="center"/>
    </xf>
    <xf numFmtId="0" fontId="12" fillId="0" borderId="30" xfId="0" applyFont="1" applyBorder="1" applyAlignment="1">
      <alignment horizontal="left" vertical="center" wrapText="1"/>
    </xf>
    <xf numFmtId="0" fontId="12" fillId="0" borderId="31" xfId="0" applyFont="1" applyBorder="1" applyAlignment="1">
      <alignment horizontal="left" vertical="center" wrapText="1"/>
    </xf>
    <xf numFmtId="0" fontId="12" fillId="0" borderId="48" xfId="0" applyFont="1" applyBorder="1" applyAlignment="1">
      <alignment horizontal="left" vertical="center" wrapText="1"/>
    </xf>
    <xf numFmtId="0" fontId="12" fillId="0" borderId="51" xfId="0" applyFont="1" applyBorder="1" applyAlignment="1">
      <alignment horizontal="left" vertical="center" wrapText="1"/>
    </xf>
    <xf numFmtId="0" fontId="12" fillId="0" borderId="0" xfId="0" applyFont="1" applyAlignment="1">
      <alignment horizontal="left" vertical="center" wrapText="1"/>
    </xf>
    <xf numFmtId="0" fontId="12" fillId="0" borderId="52" xfId="0" applyFont="1" applyBorder="1" applyAlignment="1">
      <alignment horizontal="left" vertical="center" wrapText="1"/>
    </xf>
    <xf numFmtId="0" fontId="12" fillId="0" borderId="49" xfId="0" applyFont="1" applyBorder="1" applyAlignment="1">
      <alignment horizontal="left" vertical="center" wrapText="1"/>
    </xf>
    <xf numFmtId="0" fontId="12" fillId="0" borderId="50" xfId="0" applyFont="1" applyBorder="1" applyAlignment="1">
      <alignment horizontal="left" vertical="center" wrapText="1"/>
    </xf>
    <xf numFmtId="0" fontId="12" fillId="0" borderId="29" xfId="0" applyFont="1" applyBorder="1" applyAlignment="1">
      <alignment horizontal="left" vertical="center" wrapText="1"/>
    </xf>
    <xf numFmtId="0" fontId="0" fillId="0" borderId="16" xfId="0" applyBorder="1" applyAlignment="1">
      <alignment horizontal="left" vertical="center" wrapText="1"/>
    </xf>
    <xf numFmtId="0" fontId="0" fillId="0" borderId="45" xfId="0" applyBorder="1" applyAlignment="1">
      <alignment horizontal="left" vertical="center" wrapText="1"/>
    </xf>
    <xf numFmtId="0" fontId="0" fillId="0" borderId="41" xfId="0" applyBorder="1" applyAlignment="1">
      <alignment horizontal="left" vertical="center" wrapText="1"/>
    </xf>
    <xf numFmtId="0" fontId="0" fillId="0" borderId="44" xfId="0" applyBorder="1" applyAlignment="1">
      <alignment horizontal="left" vertical="center" wrapText="1"/>
    </xf>
    <xf numFmtId="0" fontId="0" fillId="0" borderId="42" xfId="0" applyBorder="1" applyAlignment="1">
      <alignment horizontal="left" vertical="center" wrapText="1"/>
    </xf>
    <xf numFmtId="0" fontId="0" fillId="0" borderId="39" xfId="0" applyBorder="1" applyAlignment="1">
      <alignment horizontal="left" vertical="center" wrapText="1"/>
    </xf>
    <xf numFmtId="0" fontId="0" fillId="0" borderId="45" xfId="0" applyBorder="1" applyAlignment="1">
      <alignment horizontal="left" vertical="center"/>
    </xf>
    <xf numFmtId="0" fontId="0" fillId="0" borderId="41" xfId="0" applyBorder="1" applyAlignment="1">
      <alignment horizontal="left" vertical="center"/>
    </xf>
    <xf numFmtId="0" fontId="0" fillId="0" borderId="44" xfId="0" applyBorder="1" applyAlignment="1">
      <alignment horizontal="left" vertical="center"/>
    </xf>
    <xf numFmtId="0" fontId="0" fillId="0" borderId="0" xfId="0" applyAlignment="1">
      <alignment horizontal="lef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EA4B-4F2F-234B-8512-1CA76C6C7377}">
  <dimension ref="A1:V15"/>
  <sheetViews>
    <sheetView tabSelected="1" topLeftCell="A7" zoomScale="68" workbookViewId="0">
      <selection activeCell="H18" sqref="H18"/>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s>
  <sheetData>
    <row r="1" spans="1:22" ht="17" thickBot="1" x14ac:dyDescent="0.25"/>
    <row r="2" spans="1:22" ht="23" thickBot="1" x14ac:dyDescent="0.25">
      <c r="B2" s="166" t="s">
        <v>18</v>
      </c>
      <c r="C2" s="167"/>
      <c r="D2" s="167"/>
      <c r="E2" s="167"/>
      <c r="F2" s="167"/>
      <c r="G2" s="167"/>
      <c r="H2" s="168"/>
      <c r="I2" s="166" t="s">
        <v>19</v>
      </c>
      <c r="J2" s="167"/>
      <c r="K2" s="167"/>
      <c r="L2" s="167"/>
      <c r="M2" s="167"/>
      <c r="N2" s="167"/>
      <c r="O2" s="168"/>
      <c r="P2" s="169" t="s">
        <v>20</v>
      </c>
      <c r="Q2" s="170"/>
      <c r="R2" s="170"/>
      <c r="S2" s="170"/>
      <c r="T2" s="170"/>
      <c r="U2" s="170"/>
      <c r="V2" s="171"/>
    </row>
    <row r="3" spans="1:22" ht="23" thickBot="1" x14ac:dyDescent="0.35">
      <c r="A3" s="95" t="s">
        <v>7</v>
      </c>
      <c r="B3" s="155" t="s">
        <v>9</v>
      </c>
      <c r="C3" s="156" t="s">
        <v>25</v>
      </c>
      <c r="D3" s="156" t="s">
        <v>12</v>
      </c>
      <c r="E3" s="156" t="s">
        <v>14</v>
      </c>
      <c r="F3" s="157" t="s">
        <v>104</v>
      </c>
      <c r="G3" s="158" t="s">
        <v>105</v>
      </c>
      <c r="H3" s="159" t="s">
        <v>26</v>
      </c>
      <c r="I3" s="155" t="s">
        <v>9</v>
      </c>
      <c r="J3" s="156" t="s">
        <v>25</v>
      </c>
      <c r="K3" s="156" t="s">
        <v>12</v>
      </c>
      <c r="L3" s="156" t="s">
        <v>14</v>
      </c>
      <c r="M3" s="157" t="s">
        <v>104</v>
      </c>
      <c r="N3" s="141" t="s">
        <v>105</v>
      </c>
      <c r="O3" s="164" t="s">
        <v>26</v>
      </c>
      <c r="P3" s="101" t="s">
        <v>9</v>
      </c>
      <c r="Q3" s="102" t="s">
        <v>25</v>
      </c>
      <c r="R3" s="102" t="s">
        <v>12</v>
      </c>
      <c r="S3" s="102" t="s">
        <v>14</v>
      </c>
      <c r="T3" s="104" t="s">
        <v>104</v>
      </c>
      <c r="U3" s="98" t="s">
        <v>105</v>
      </c>
      <c r="V3" s="103" t="s">
        <v>26</v>
      </c>
    </row>
    <row r="4" spans="1:22" ht="51" x14ac:dyDescent="0.2">
      <c r="A4" s="106" t="s">
        <v>83</v>
      </c>
      <c r="B4" s="128">
        <v>0</v>
      </c>
      <c r="C4" s="126">
        <v>2</v>
      </c>
      <c r="D4" s="126">
        <v>0</v>
      </c>
      <c r="E4" s="126">
        <v>1</v>
      </c>
      <c r="F4" s="133">
        <v>0</v>
      </c>
      <c r="G4" s="127">
        <v>0</v>
      </c>
      <c r="H4" s="138"/>
      <c r="I4" s="128">
        <v>1</v>
      </c>
      <c r="J4" s="126">
        <v>2</v>
      </c>
      <c r="K4" s="126">
        <v>0</v>
      </c>
      <c r="L4" s="126">
        <v>1</v>
      </c>
      <c r="M4" s="133">
        <v>0</v>
      </c>
      <c r="N4" s="127">
        <v>1</v>
      </c>
      <c r="O4" s="160" t="s">
        <v>129</v>
      </c>
      <c r="P4" s="61">
        <v>0</v>
      </c>
      <c r="Q4" s="62">
        <v>4</v>
      </c>
      <c r="R4" s="62">
        <v>0</v>
      </c>
      <c r="S4" s="62">
        <v>1</v>
      </c>
      <c r="T4" s="63">
        <v>0</v>
      </c>
      <c r="U4" s="90">
        <v>0</v>
      </c>
      <c r="V4" s="149"/>
    </row>
    <row r="5" spans="1:22" ht="51" x14ac:dyDescent="0.2">
      <c r="A5" s="24" t="s">
        <v>138</v>
      </c>
      <c r="B5" s="45">
        <v>1</v>
      </c>
      <c r="C5" s="46">
        <v>2</v>
      </c>
      <c r="D5" s="67">
        <v>0</v>
      </c>
      <c r="E5" s="46">
        <v>0</v>
      </c>
      <c r="F5" s="60">
        <v>0</v>
      </c>
      <c r="G5" s="49">
        <v>0</v>
      </c>
      <c r="H5" s="23" t="s">
        <v>120</v>
      </c>
      <c r="I5" s="45">
        <v>0</v>
      </c>
      <c r="J5" s="46">
        <v>2</v>
      </c>
      <c r="K5" s="46">
        <v>0</v>
      </c>
      <c r="L5" s="46">
        <v>1</v>
      </c>
      <c r="M5" s="60">
        <v>0</v>
      </c>
      <c r="N5" s="49">
        <v>0</v>
      </c>
      <c r="O5" s="31"/>
      <c r="P5" s="45">
        <v>0</v>
      </c>
      <c r="Q5" s="46">
        <v>3</v>
      </c>
      <c r="R5" s="46">
        <v>0</v>
      </c>
      <c r="S5" s="46">
        <v>1</v>
      </c>
      <c r="T5" s="46">
        <v>0</v>
      </c>
      <c r="U5" s="162">
        <v>0</v>
      </c>
      <c r="V5" s="16"/>
    </row>
    <row r="6" spans="1:22" ht="51" x14ac:dyDescent="0.2">
      <c r="A6" s="72" t="s">
        <v>139</v>
      </c>
      <c r="B6" s="45">
        <v>4</v>
      </c>
      <c r="C6" s="46">
        <v>4</v>
      </c>
      <c r="D6" s="46">
        <v>0</v>
      </c>
      <c r="E6" s="46">
        <v>1</v>
      </c>
      <c r="F6" s="60">
        <v>0</v>
      </c>
      <c r="G6" s="49">
        <v>0</v>
      </c>
      <c r="H6" s="23" t="s">
        <v>121</v>
      </c>
      <c r="I6" s="45">
        <v>4</v>
      </c>
      <c r="J6" s="46">
        <v>4</v>
      </c>
      <c r="K6" s="46">
        <v>0</v>
      </c>
      <c r="L6" s="46">
        <v>1</v>
      </c>
      <c r="M6" s="60">
        <v>0</v>
      </c>
      <c r="N6" s="49">
        <v>0</v>
      </c>
      <c r="O6" s="31" t="s">
        <v>130</v>
      </c>
      <c r="P6" s="77">
        <v>3</v>
      </c>
      <c r="Q6" s="78">
        <v>5</v>
      </c>
      <c r="R6" s="78">
        <v>0</v>
      </c>
      <c r="S6" s="163">
        <v>1</v>
      </c>
      <c r="T6" s="163">
        <v>0</v>
      </c>
      <c r="U6" s="79">
        <v>0</v>
      </c>
      <c r="V6" s="136" t="s">
        <v>128</v>
      </c>
    </row>
    <row r="7" spans="1:22" ht="154" thickBot="1" x14ac:dyDescent="0.25">
      <c r="A7" s="165" t="s">
        <v>140</v>
      </c>
      <c r="B7" s="53">
        <v>0</v>
      </c>
      <c r="C7" s="54">
        <f>7</f>
        <v>7</v>
      </c>
      <c r="D7" s="54">
        <v>0</v>
      </c>
      <c r="E7" s="54">
        <v>1</v>
      </c>
      <c r="F7" s="64">
        <v>3</v>
      </c>
      <c r="G7" s="55">
        <v>3</v>
      </c>
      <c r="H7" s="137" t="s">
        <v>117</v>
      </c>
      <c r="I7" s="53">
        <v>2</v>
      </c>
      <c r="J7" s="54">
        <v>2</v>
      </c>
      <c r="K7" s="54">
        <v>0</v>
      </c>
      <c r="L7" s="54">
        <v>0</v>
      </c>
      <c r="M7" s="64">
        <v>0</v>
      </c>
      <c r="N7" s="55">
        <v>2</v>
      </c>
      <c r="O7" s="44" t="s">
        <v>149</v>
      </c>
      <c r="P7" s="53">
        <v>3</v>
      </c>
      <c r="Q7" s="54">
        <v>3</v>
      </c>
      <c r="R7" s="54">
        <v>0</v>
      </c>
      <c r="S7" s="54">
        <v>0</v>
      </c>
      <c r="T7" s="64">
        <v>0</v>
      </c>
      <c r="U7" s="55">
        <v>1</v>
      </c>
      <c r="V7" s="39" t="s">
        <v>133</v>
      </c>
    </row>
    <row r="8" spans="1:22" ht="119" x14ac:dyDescent="0.2">
      <c r="A8" s="138" t="s">
        <v>141</v>
      </c>
      <c r="B8" s="125">
        <v>1</v>
      </c>
      <c r="C8" s="126">
        <v>5</v>
      </c>
      <c r="D8" s="126">
        <v>0</v>
      </c>
      <c r="E8" s="126">
        <v>0</v>
      </c>
      <c r="F8" s="133">
        <v>2</v>
      </c>
      <c r="G8" s="127">
        <v>4</v>
      </c>
      <c r="H8" s="138" t="s">
        <v>150</v>
      </c>
      <c r="I8" s="128">
        <v>0</v>
      </c>
      <c r="J8" s="126">
        <v>6</v>
      </c>
      <c r="K8" s="126">
        <v>0</v>
      </c>
      <c r="L8" s="126">
        <v>1</v>
      </c>
      <c r="M8" s="133">
        <v>2</v>
      </c>
      <c r="N8" s="127">
        <v>3</v>
      </c>
      <c r="O8" s="92" t="s">
        <v>125</v>
      </c>
      <c r="P8" s="61">
        <v>0</v>
      </c>
      <c r="Q8" s="62">
        <v>6</v>
      </c>
      <c r="R8" s="62">
        <v>0</v>
      </c>
      <c r="S8" s="62">
        <v>1</v>
      </c>
      <c r="T8" s="63">
        <v>3</v>
      </c>
      <c r="U8" s="90">
        <v>3</v>
      </c>
      <c r="V8" s="136" t="s">
        <v>117</v>
      </c>
    </row>
    <row r="9" spans="1:22" ht="85" x14ac:dyDescent="0.2">
      <c r="A9" s="23" t="s">
        <v>142</v>
      </c>
      <c r="B9" s="56">
        <v>0</v>
      </c>
      <c r="C9" s="46">
        <v>5</v>
      </c>
      <c r="D9" s="46">
        <v>0</v>
      </c>
      <c r="E9" s="46">
        <v>1</v>
      </c>
      <c r="F9" s="60">
        <v>1</v>
      </c>
      <c r="G9" s="49">
        <v>1</v>
      </c>
      <c r="H9" s="43" t="s">
        <v>122</v>
      </c>
      <c r="I9" s="45">
        <v>0</v>
      </c>
      <c r="J9" s="46">
        <v>6</v>
      </c>
      <c r="K9" s="46">
        <v>0</v>
      </c>
      <c r="L9" s="46">
        <v>1</v>
      </c>
      <c r="M9" s="60">
        <v>2</v>
      </c>
      <c r="N9" s="49">
        <v>3</v>
      </c>
      <c r="O9" s="31" t="s">
        <v>126</v>
      </c>
      <c r="P9" s="45">
        <v>0</v>
      </c>
      <c r="Q9" s="46">
        <v>6</v>
      </c>
      <c r="R9" s="46">
        <v>0</v>
      </c>
      <c r="S9" s="46">
        <v>1</v>
      </c>
      <c r="T9" s="60">
        <v>2</v>
      </c>
      <c r="U9" s="49">
        <v>3</v>
      </c>
      <c r="V9" s="23" t="s">
        <v>126</v>
      </c>
    </row>
    <row r="10" spans="1:22" ht="119" x14ac:dyDescent="0.2">
      <c r="A10" s="23" t="s">
        <v>143</v>
      </c>
      <c r="B10" s="56">
        <v>0</v>
      </c>
      <c r="C10" s="46">
        <v>5</v>
      </c>
      <c r="D10" s="46">
        <v>0</v>
      </c>
      <c r="E10" s="46">
        <v>1</v>
      </c>
      <c r="F10" s="60">
        <v>2</v>
      </c>
      <c r="G10" s="49">
        <v>2</v>
      </c>
      <c r="H10" s="136" t="s">
        <v>110</v>
      </c>
      <c r="I10" s="45">
        <v>2</v>
      </c>
      <c r="J10" s="46">
        <v>6</v>
      </c>
      <c r="K10" s="46">
        <v>0</v>
      </c>
      <c r="L10" s="46">
        <v>0</v>
      </c>
      <c r="M10" s="60">
        <v>2</v>
      </c>
      <c r="N10" s="49">
        <v>2</v>
      </c>
      <c r="O10" s="31" t="s">
        <v>132</v>
      </c>
      <c r="P10" s="45">
        <v>1</v>
      </c>
      <c r="Q10" s="46">
        <v>5</v>
      </c>
      <c r="R10" s="46">
        <v>0</v>
      </c>
      <c r="S10" s="46">
        <v>0</v>
      </c>
      <c r="T10" s="60">
        <v>1</v>
      </c>
      <c r="U10" s="49">
        <v>1</v>
      </c>
      <c r="V10" s="23" t="s">
        <v>134</v>
      </c>
    </row>
    <row r="11" spans="1:22" ht="69" thickBot="1" x14ac:dyDescent="0.25">
      <c r="A11" s="39" t="s">
        <v>144</v>
      </c>
      <c r="B11" s="53">
        <v>0</v>
      </c>
      <c r="C11" s="54">
        <v>4</v>
      </c>
      <c r="D11" s="54">
        <v>0</v>
      </c>
      <c r="E11" s="54">
        <v>1</v>
      </c>
      <c r="F11" s="64">
        <v>2</v>
      </c>
      <c r="G11" s="55">
        <v>2</v>
      </c>
      <c r="H11" s="137" t="s">
        <v>110</v>
      </c>
      <c r="I11" s="53">
        <v>0</v>
      </c>
      <c r="J11" s="54">
        <v>6</v>
      </c>
      <c r="K11" s="54">
        <v>0</v>
      </c>
      <c r="L11" s="54">
        <v>1</v>
      </c>
      <c r="M11" s="64">
        <v>4</v>
      </c>
      <c r="N11" s="55">
        <v>5</v>
      </c>
      <c r="O11" s="44" t="s">
        <v>124</v>
      </c>
      <c r="P11" s="53">
        <v>0</v>
      </c>
      <c r="Q11" s="54">
        <v>5</v>
      </c>
      <c r="R11" s="54">
        <v>0</v>
      </c>
      <c r="S11" s="54">
        <v>1</v>
      </c>
      <c r="T11" s="64">
        <v>3</v>
      </c>
      <c r="U11" s="55">
        <v>4</v>
      </c>
      <c r="V11" s="39" t="s">
        <v>127</v>
      </c>
    </row>
    <row r="12" spans="1:22" s="1" customFormat="1" ht="63" customHeight="1" x14ac:dyDescent="0.2">
      <c r="A12" s="38" t="s">
        <v>145</v>
      </c>
      <c r="B12" s="161">
        <v>0</v>
      </c>
      <c r="C12" s="131">
        <v>3</v>
      </c>
      <c r="D12" s="131">
        <v>0</v>
      </c>
      <c r="E12" s="131">
        <v>1</v>
      </c>
      <c r="F12" s="132">
        <v>1</v>
      </c>
      <c r="G12" s="150">
        <v>1</v>
      </c>
      <c r="H12" s="151" t="s">
        <v>113</v>
      </c>
      <c r="I12" s="161">
        <v>0</v>
      </c>
      <c r="J12" s="131">
        <v>3</v>
      </c>
      <c r="K12" s="131">
        <v>0</v>
      </c>
      <c r="L12" s="131">
        <v>1</v>
      </c>
      <c r="M12" s="132">
        <v>1</v>
      </c>
      <c r="N12" s="150">
        <v>1</v>
      </c>
      <c r="O12" s="135" t="s">
        <v>113</v>
      </c>
      <c r="P12" s="65">
        <v>0</v>
      </c>
      <c r="Q12" s="46">
        <v>5</v>
      </c>
      <c r="R12" s="46">
        <v>0</v>
      </c>
      <c r="S12" s="46">
        <v>1</v>
      </c>
      <c r="T12" s="60">
        <v>3</v>
      </c>
      <c r="U12" s="49">
        <v>3</v>
      </c>
      <c r="V12" s="136" t="s">
        <v>117</v>
      </c>
    </row>
    <row r="13" spans="1:22" s="204" customFormat="1" ht="65" customHeight="1" x14ac:dyDescent="0.2">
      <c r="A13" s="195" t="s">
        <v>146</v>
      </c>
      <c r="B13" s="196">
        <v>1</v>
      </c>
      <c r="C13" s="197">
        <v>3</v>
      </c>
      <c r="D13" s="197">
        <v>0</v>
      </c>
      <c r="E13" s="197">
        <v>1</v>
      </c>
      <c r="F13" s="198">
        <v>0</v>
      </c>
      <c r="G13" s="199">
        <v>0</v>
      </c>
      <c r="H13" s="200" t="s">
        <v>119</v>
      </c>
      <c r="I13" s="201">
        <v>1</v>
      </c>
      <c r="J13" s="202">
        <v>3</v>
      </c>
      <c r="K13" s="202">
        <v>0</v>
      </c>
      <c r="L13" s="202">
        <v>1</v>
      </c>
      <c r="M13" s="203">
        <v>0</v>
      </c>
      <c r="N13" s="203">
        <v>0</v>
      </c>
      <c r="O13" s="200" t="s">
        <v>119</v>
      </c>
      <c r="P13" s="196">
        <v>1</v>
      </c>
      <c r="Q13" s="197">
        <v>3</v>
      </c>
      <c r="R13" s="197">
        <v>0</v>
      </c>
      <c r="S13" s="197">
        <v>1</v>
      </c>
      <c r="T13" s="198">
        <v>0</v>
      </c>
      <c r="U13" s="199">
        <v>0</v>
      </c>
      <c r="V13" s="200" t="s">
        <v>119</v>
      </c>
    </row>
    <row r="14" spans="1:22" ht="153" x14ac:dyDescent="0.2">
      <c r="A14" s="23" t="s">
        <v>147</v>
      </c>
      <c r="B14" s="73">
        <v>2</v>
      </c>
      <c r="C14" s="68">
        <v>5</v>
      </c>
      <c r="D14" s="68">
        <v>0</v>
      </c>
      <c r="E14" s="68">
        <v>0</v>
      </c>
      <c r="F14" s="122">
        <v>2</v>
      </c>
      <c r="G14" s="69">
        <v>3</v>
      </c>
      <c r="H14" s="43" t="s">
        <v>123</v>
      </c>
      <c r="I14" s="71">
        <v>3</v>
      </c>
      <c r="J14" s="51">
        <v>13</v>
      </c>
      <c r="K14" s="51">
        <v>0</v>
      </c>
      <c r="L14" s="51">
        <v>0</v>
      </c>
      <c r="M14" s="70">
        <v>6</v>
      </c>
      <c r="N14" s="70">
        <v>7</v>
      </c>
      <c r="O14" s="43" t="s">
        <v>131</v>
      </c>
      <c r="P14" s="71">
        <v>1</v>
      </c>
      <c r="Q14" s="51">
        <v>6</v>
      </c>
      <c r="R14" s="51">
        <v>0</v>
      </c>
      <c r="S14" s="51">
        <v>0</v>
      </c>
      <c r="T14" s="70">
        <v>3</v>
      </c>
      <c r="U14" s="52">
        <v>4</v>
      </c>
      <c r="V14" s="43" t="s">
        <v>135</v>
      </c>
    </row>
    <row r="15" spans="1:22" ht="86" thickBot="1" x14ac:dyDescent="0.25">
      <c r="A15" s="39" t="s">
        <v>148</v>
      </c>
      <c r="B15" s="76">
        <v>0</v>
      </c>
      <c r="C15" s="58">
        <v>2</v>
      </c>
      <c r="D15" s="58">
        <v>0</v>
      </c>
      <c r="E15" s="58">
        <v>1</v>
      </c>
      <c r="F15" s="120">
        <v>2</v>
      </c>
      <c r="G15" s="59">
        <v>4</v>
      </c>
      <c r="H15" s="39" t="s">
        <v>151</v>
      </c>
      <c r="I15" s="66">
        <v>0</v>
      </c>
      <c r="J15" s="54">
        <v>4</v>
      </c>
      <c r="K15" s="54">
        <v>0</v>
      </c>
      <c r="L15" s="54">
        <v>1</v>
      </c>
      <c r="M15" s="64">
        <v>2</v>
      </c>
      <c r="N15" s="64">
        <v>2</v>
      </c>
      <c r="O15" s="137" t="s">
        <v>110</v>
      </c>
      <c r="P15" s="66">
        <v>0</v>
      </c>
      <c r="Q15" s="54">
        <v>4</v>
      </c>
      <c r="R15" s="54">
        <v>0</v>
      </c>
      <c r="S15" s="54">
        <v>1</v>
      </c>
      <c r="T15" s="64">
        <v>2</v>
      </c>
      <c r="U15" s="55">
        <v>2</v>
      </c>
      <c r="V15" s="137" t="s">
        <v>110</v>
      </c>
    </row>
  </sheetData>
  <mergeCells count="3">
    <mergeCell ref="B2:H2"/>
    <mergeCell ref="I2:O2"/>
    <mergeCell ref="P2:V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BED4F-40F4-844C-8DBF-866B9F6BFE89}">
  <dimension ref="A1:V15"/>
  <sheetViews>
    <sheetView topLeftCell="A10" zoomScale="75" workbookViewId="0">
      <selection activeCell="P18" sqref="P18"/>
    </sheetView>
  </sheetViews>
  <sheetFormatPr baseColWidth="10" defaultRowHeight="16" x14ac:dyDescent="0.2"/>
  <cols>
    <col min="1" max="1" width="26.83203125" style="1"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s>
  <sheetData>
    <row r="1" spans="1:22" ht="17" thickBot="1" x14ac:dyDescent="0.25"/>
    <row r="2" spans="1:22" ht="23" thickBot="1" x14ac:dyDescent="0.25">
      <c r="B2" s="166" t="s">
        <v>18</v>
      </c>
      <c r="C2" s="167"/>
      <c r="D2" s="167"/>
      <c r="E2" s="167"/>
      <c r="F2" s="167"/>
      <c r="G2" s="167"/>
      <c r="H2" s="168"/>
      <c r="I2" s="166" t="s">
        <v>19</v>
      </c>
      <c r="J2" s="167"/>
      <c r="K2" s="167"/>
      <c r="L2" s="167"/>
      <c r="M2" s="167"/>
      <c r="N2" s="167"/>
      <c r="O2" s="168"/>
      <c r="P2" s="172" t="s">
        <v>20</v>
      </c>
      <c r="Q2" s="173"/>
      <c r="R2" s="173"/>
      <c r="S2" s="173"/>
      <c r="T2" s="173"/>
      <c r="U2" s="173"/>
      <c r="V2" s="174"/>
    </row>
    <row r="3" spans="1:22" ht="23" thickBot="1" x14ac:dyDescent="0.25">
      <c r="A3" s="152" t="s">
        <v>7</v>
      </c>
      <c r="B3" s="96" t="s">
        <v>9</v>
      </c>
      <c r="C3" s="97" t="s">
        <v>25</v>
      </c>
      <c r="D3" s="97" t="s">
        <v>12</v>
      </c>
      <c r="E3" s="97" t="s">
        <v>14</v>
      </c>
      <c r="F3" s="121" t="s">
        <v>104</v>
      </c>
      <c r="G3" s="98" t="s">
        <v>105</v>
      </c>
      <c r="H3" s="99" t="s">
        <v>26</v>
      </c>
      <c r="I3" s="96" t="s">
        <v>9</v>
      </c>
      <c r="J3" s="97" t="s">
        <v>25</v>
      </c>
      <c r="K3" s="97" t="s">
        <v>12</v>
      </c>
      <c r="L3" s="97" t="s">
        <v>14</v>
      </c>
      <c r="M3" s="153" t="s">
        <v>104</v>
      </c>
      <c r="N3" s="98" t="s">
        <v>105</v>
      </c>
      <c r="O3" s="99" t="s">
        <v>26</v>
      </c>
      <c r="P3" s="101" t="s">
        <v>9</v>
      </c>
      <c r="Q3" s="123" t="s">
        <v>25</v>
      </c>
      <c r="R3" s="123" t="s">
        <v>12</v>
      </c>
      <c r="S3" s="123" t="s">
        <v>14</v>
      </c>
      <c r="T3" s="123" t="s">
        <v>104</v>
      </c>
      <c r="U3" s="98" t="s">
        <v>105</v>
      </c>
      <c r="V3" s="154" t="s">
        <v>26</v>
      </c>
    </row>
    <row r="4" spans="1:22" ht="83" customHeight="1" x14ac:dyDescent="0.2">
      <c r="A4" s="149" t="s">
        <v>0</v>
      </c>
      <c r="B4" s="61">
        <v>0</v>
      </c>
      <c r="C4" s="62">
        <v>2</v>
      </c>
      <c r="D4" s="131">
        <v>0</v>
      </c>
      <c r="E4" s="62">
        <v>1</v>
      </c>
      <c r="F4" s="63">
        <v>0</v>
      </c>
      <c r="G4" s="150">
        <v>0</v>
      </c>
      <c r="H4" s="91"/>
      <c r="I4" s="61">
        <v>0</v>
      </c>
      <c r="J4" s="62">
        <v>1</v>
      </c>
      <c r="K4" s="62">
        <v>0</v>
      </c>
      <c r="L4" s="62">
        <v>1</v>
      </c>
      <c r="M4" s="63">
        <v>0</v>
      </c>
      <c r="N4" s="90">
        <v>0</v>
      </c>
      <c r="O4" s="149"/>
      <c r="P4" s="146">
        <v>0</v>
      </c>
      <c r="Q4" s="62">
        <v>4</v>
      </c>
      <c r="R4" s="62">
        <v>0</v>
      </c>
      <c r="S4" s="62">
        <v>1</v>
      </c>
      <c r="T4" s="63">
        <v>2</v>
      </c>
      <c r="U4" s="63">
        <v>2</v>
      </c>
      <c r="V4" s="151" t="s">
        <v>110</v>
      </c>
    </row>
    <row r="5" spans="1:22" ht="106" customHeight="1" x14ac:dyDescent="0.2">
      <c r="A5" s="16" t="s">
        <v>1</v>
      </c>
      <c r="B5" s="45">
        <v>0</v>
      </c>
      <c r="C5" s="46">
        <v>2</v>
      </c>
      <c r="D5" s="46">
        <v>0</v>
      </c>
      <c r="E5" s="46">
        <v>1</v>
      </c>
      <c r="F5" s="60">
        <v>0</v>
      </c>
      <c r="G5" s="49">
        <v>0</v>
      </c>
      <c r="H5" s="15"/>
      <c r="I5" s="45">
        <v>0</v>
      </c>
      <c r="J5" s="46">
        <v>3</v>
      </c>
      <c r="K5" s="46">
        <v>0</v>
      </c>
      <c r="L5" s="46">
        <v>1</v>
      </c>
      <c r="M5" s="46">
        <v>1</v>
      </c>
      <c r="N5" s="49">
        <v>1</v>
      </c>
      <c r="O5" s="23" t="s">
        <v>113</v>
      </c>
      <c r="P5" s="65">
        <v>0</v>
      </c>
      <c r="Q5" s="46">
        <v>1</v>
      </c>
      <c r="R5" s="46">
        <v>0</v>
      </c>
      <c r="S5" s="46">
        <v>0</v>
      </c>
      <c r="T5" s="60">
        <v>0</v>
      </c>
      <c r="U5" s="60">
        <v>0</v>
      </c>
      <c r="V5" s="23" t="s">
        <v>114</v>
      </c>
    </row>
    <row r="6" spans="1:22" ht="106" customHeight="1" x14ac:dyDescent="0.2">
      <c r="A6" s="41" t="s">
        <v>75</v>
      </c>
      <c r="B6" s="50">
        <v>0</v>
      </c>
      <c r="C6" s="51">
        <v>2</v>
      </c>
      <c r="D6" s="51">
        <v>0</v>
      </c>
      <c r="E6" s="51">
        <v>1</v>
      </c>
      <c r="F6" s="70">
        <v>0</v>
      </c>
      <c r="G6" s="52">
        <v>0</v>
      </c>
      <c r="H6" s="42"/>
      <c r="I6" s="45">
        <v>0</v>
      </c>
      <c r="J6" s="46">
        <v>3</v>
      </c>
      <c r="K6" s="46">
        <v>0</v>
      </c>
      <c r="L6" s="46">
        <v>1</v>
      </c>
      <c r="M6" s="46">
        <v>1</v>
      </c>
      <c r="N6" s="49">
        <v>1</v>
      </c>
      <c r="O6" s="23" t="s">
        <v>113</v>
      </c>
      <c r="P6" s="65">
        <v>0</v>
      </c>
      <c r="Q6" s="46">
        <v>1</v>
      </c>
      <c r="R6" s="51">
        <v>0</v>
      </c>
      <c r="S6" s="51">
        <v>1</v>
      </c>
      <c r="T6" s="70">
        <v>0</v>
      </c>
      <c r="U6" s="70">
        <v>0</v>
      </c>
      <c r="V6" s="23"/>
    </row>
    <row r="7" spans="1:22" ht="106" customHeight="1" thickBot="1" x14ac:dyDescent="0.25">
      <c r="A7" s="17" t="s">
        <v>27</v>
      </c>
      <c r="B7" s="50">
        <v>0</v>
      </c>
      <c r="C7" s="51">
        <v>4</v>
      </c>
      <c r="D7" s="51">
        <v>0</v>
      </c>
      <c r="E7" s="51">
        <v>1</v>
      </c>
      <c r="F7" s="70">
        <v>2</v>
      </c>
      <c r="G7" s="52">
        <v>2</v>
      </c>
      <c r="H7" s="124" t="s">
        <v>110</v>
      </c>
      <c r="I7" s="142">
        <v>0</v>
      </c>
      <c r="J7" s="143">
        <v>4</v>
      </c>
      <c r="K7" s="143">
        <v>0</v>
      </c>
      <c r="L7" s="143">
        <v>1</v>
      </c>
      <c r="M7" s="144">
        <v>2</v>
      </c>
      <c r="N7" s="145">
        <v>2</v>
      </c>
      <c r="O7" s="148" t="s">
        <v>110</v>
      </c>
      <c r="P7" s="147">
        <v>0</v>
      </c>
      <c r="Q7" s="140">
        <v>4</v>
      </c>
      <c r="R7" s="51">
        <v>0</v>
      </c>
      <c r="S7" s="51">
        <v>1</v>
      </c>
      <c r="T7" s="70">
        <v>2</v>
      </c>
      <c r="U7" s="70">
        <v>2</v>
      </c>
      <c r="V7" s="137" t="s">
        <v>110</v>
      </c>
    </row>
    <row r="8" spans="1:22" ht="153" customHeight="1" x14ac:dyDescent="0.2">
      <c r="A8" s="129" t="s">
        <v>24</v>
      </c>
      <c r="B8" s="128">
        <v>0</v>
      </c>
      <c r="C8" s="126">
        <v>6</v>
      </c>
      <c r="D8" s="126">
        <v>0</v>
      </c>
      <c r="E8" s="126">
        <v>1</v>
      </c>
      <c r="F8" s="126">
        <v>4</v>
      </c>
      <c r="G8" s="133">
        <v>4</v>
      </c>
      <c r="H8" s="135" t="s">
        <v>111</v>
      </c>
      <c r="I8" s="134">
        <v>0</v>
      </c>
      <c r="J8" s="126">
        <v>3</v>
      </c>
      <c r="K8" s="126">
        <v>0</v>
      </c>
      <c r="L8" s="126">
        <v>1</v>
      </c>
      <c r="M8" s="126">
        <v>1</v>
      </c>
      <c r="N8" s="133">
        <v>1</v>
      </c>
      <c r="O8" s="135" t="s">
        <v>113</v>
      </c>
      <c r="P8" s="134">
        <v>3</v>
      </c>
      <c r="Q8" s="126">
        <v>5</v>
      </c>
      <c r="R8" s="126">
        <v>0</v>
      </c>
      <c r="S8" s="126">
        <v>0</v>
      </c>
      <c r="T8" s="126">
        <v>2</v>
      </c>
      <c r="U8" s="133">
        <v>2</v>
      </c>
      <c r="V8" s="38" t="s">
        <v>115</v>
      </c>
    </row>
    <row r="9" spans="1:22" ht="154" customHeight="1" x14ac:dyDescent="0.2">
      <c r="A9" s="129" t="s">
        <v>76</v>
      </c>
      <c r="B9" s="45">
        <v>0</v>
      </c>
      <c r="C9" s="46">
        <v>4</v>
      </c>
      <c r="D9" s="46">
        <v>0</v>
      </c>
      <c r="E9" s="46">
        <v>1</v>
      </c>
      <c r="F9" s="46">
        <v>2</v>
      </c>
      <c r="G9" s="60">
        <v>3</v>
      </c>
      <c r="H9" s="23" t="s">
        <v>112</v>
      </c>
      <c r="I9" s="65">
        <v>0</v>
      </c>
      <c r="J9" s="46">
        <v>4</v>
      </c>
      <c r="K9" s="46">
        <v>0</v>
      </c>
      <c r="L9" s="46">
        <v>1</v>
      </c>
      <c r="M9" s="46">
        <v>2</v>
      </c>
      <c r="N9" s="60">
        <v>3</v>
      </c>
      <c r="O9" s="23" t="s">
        <v>112</v>
      </c>
      <c r="P9" s="65">
        <v>4</v>
      </c>
      <c r="Q9" s="46">
        <v>7</v>
      </c>
      <c r="R9" s="46">
        <v>0</v>
      </c>
      <c r="S9" s="46">
        <v>0</v>
      </c>
      <c r="T9" s="46">
        <v>2</v>
      </c>
      <c r="U9" s="60">
        <v>2</v>
      </c>
      <c r="V9" s="23" t="s">
        <v>116</v>
      </c>
    </row>
    <row r="10" spans="1:22" ht="156" customHeight="1" x14ac:dyDescent="0.2">
      <c r="A10" s="129" t="s">
        <v>28</v>
      </c>
      <c r="B10" s="45">
        <v>0</v>
      </c>
      <c r="C10" s="46">
        <v>4</v>
      </c>
      <c r="D10" s="46">
        <v>0</v>
      </c>
      <c r="E10" s="46">
        <v>1</v>
      </c>
      <c r="F10" s="46">
        <v>2</v>
      </c>
      <c r="G10" s="60">
        <v>2</v>
      </c>
      <c r="H10" s="136" t="s">
        <v>110</v>
      </c>
      <c r="I10" s="65">
        <v>0</v>
      </c>
      <c r="J10" s="46">
        <v>4</v>
      </c>
      <c r="K10" s="46">
        <v>0</v>
      </c>
      <c r="L10" s="46">
        <v>1</v>
      </c>
      <c r="M10" s="46">
        <v>2</v>
      </c>
      <c r="N10" s="60">
        <v>3</v>
      </c>
      <c r="O10" s="23" t="s">
        <v>112</v>
      </c>
      <c r="P10" s="65">
        <v>0</v>
      </c>
      <c r="Q10" s="46">
        <v>4</v>
      </c>
      <c r="R10" s="46">
        <v>0</v>
      </c>
      <c r="S10" s="46">
        <v>1</v>
      </c>
      <c r="T10" s="46">
        <v>2</v>
      </c>
      <c r="U10" s="60">
        <v>3</v>
      </c>
      <c r="V10" s="23" t="s">
        <v>112</v>
      </c>
    </row>
    <row r="11" spans="1:22" ht="124" customHeight="1" thickBot="1" x14ac:dyDescent="0.25">
      <c r="A11" s="130" t="s">
        <v>29</v>
      </c>
      <c r="B11" s="53">
        <v>0</v>
      </c>
      <c r="C11" s="54">
        <v>4</v>
      </c>
      <c r="D11" s="54">
        <v>0</v>
      </c>
      <c r="E11" s="54">
        <v>1</v>
      </c>
      <c r="F11" s="54">
        <v>2</v>
      </c>
      <c r="G11" s="64">
        <v>3</v>
      </c>
      <c r="H11" s="39" t="s">
        <v>112</v>
      </c>
      <c r="I11" s="66">
        <v>0</v>
      </c>
      <c r="J11" s="54">
        <v>3</v>
      </c>
      <c r="K11" s="54">
        <v>0</v>
      </c>
      <c r="L11" s="54">
        <v>1</v>
      </c>
      <c r="M11" s="54">
        <v>1</v>
      </c>
      <c r="N11" s="64">
        <v>1</v>
      </c>
      <c r="O11" s="137" t="s">
        <v>113</v>
      </c>
      <c r="P11" s="66">
        <v>0</v>
      </c>
      <c r="Q11" s="54">
        <v>4</v>
      </c>
      <c r="R11" s="54">
        <v>0</v>
      </c>
      <c r="S11" s="54">
        <v>1</v>
      </c>
      <c r="T11" s="54">
        <v>2</v>
      </c>
      <c r="U11" s="64">
        <v>2</v>
      </c>
      <c r="V11" s="139" t="s">
        <v>110</v>
      </c>
    </row>
    <row r="12" spans="1:22" ht="77" customHeight="1" x14ac:dyDescent="0.2">
      <c r="A12" s="23" t="s">
        <v>30</v>
      </c>
      <c r="B12" s="89">
        <v>0</v>
      </c>
      <c r="C12" s="131">
        <v>5</v>
      </c>
      <c r="D12" s="131">
        <v>0</v>
      </c>
      <c r="E12" s="131">
        <v>1</v>
      </c>
      <c r="F12" s="132">
        <v>3</v>
      </c>
      <c r="G12" s="132">
        <v>3</v>
      </c>
      <c r="H12" s="135" t="s">
        <v>117</v>
      </c>
      <c r="I12" s="61">
        <v>0</v>
      </c>
      <c r="J12" s="62">
        <v>5</v>
      </c>
      <c r="K12" s="62">
        <v>0</v>
      </c>
      <c r="L12" s="62">
        <v>1</v>
      </c>
      <c r="M12" s="62">
        <v>3</v>
      </c>
      <c r="N12" s="90">
        <v>4</v>
      </c>
      <c r="O12" s="91" t="s">
        <v>118</v>
      </c>
      <c r="P12" s="61">
        <v>0</v>
      </c>
      <c r="Q12" s="62">
        <v>4</v>
      </c>
      <c r="R12" s="62">
        <v>0</v>
      </c>
      <c r="S12" s="62">
        <v>1</v>
      </c>
      <c r="T12" s="62">
        <v>2</v>
      </c>
      <c r="U12" s="63">
        <v>2</v>
      </c>
      <c r="V12" s="135" t="s">
        <v>107</v>
      </c>
    </row>
    <row r="13" spans="1:22" ht="77" customHeight="1" x14ac:dyDescent="0.2">
      <c r="A13" s="23" t="s">
        <v>77</v>
      </c>
      <c r="B13" s="56">
        <v>0</v>
      </c>
      <c r="C13" s="47">
        <v>8</v>
      </c>
      <c r="D13" s="47">
        <v>0</v>
      </c>
      <c r="E13" s="47">
        <v>1</v>
      </c>
      <c r="F13" s="119">
        <v>4</v>
      </c>
      <c r="G13" s="119">
        <v>4</v>
      </c>
      <c r="H13" s="136" t="s">
        <v>111</v>
      </c>
      <c r="I13" s="45">
        <v>0</v>
      </c>
      <c r="J13" s="46">
        <v>4</v>
      </c>
      <c r="K13" s="46">
        <v>0</v>
      </c>
      <c r="L13" s="46">
        <v>1</v>
      </c>
      <c r="M13" s="46">
        <v>2</v>
      </c>
      <c r="N13" s="49">
        <v>2</v>
      </c>
      <c r="O13" s="80" t="s">
        <v>110</v>
      </c>
      <c r="P13" s="45">
        <v>0</v>
      </c>
      <c r="Q13" s="46">
        <v>5</v>
      </c>
      <c r="R13" s="46">
        <v>0</v>
      </c>
      <c r="S13" s="46">
        <v>1</v>
      </c>
      <c r="T13" s="46">
        <v>3</v>
      </c>
      <c r="U13" s="60">
        <v>3</v>
      </c>
      <c r="V13" s="136" t="s">
        <v>108</v>
      </c>
    </row>
    <row r="14" spans="1:22" ht="106" customHeight="1" x14ac:dyDescent="0.2">
      <c r="A14" s="23" t="s">
        <v>47</v>
      </c>
      <c r="B14" s="56">
        <v>0</v>
      </c>
      <c r="C14" s="47">
        <v>3</v>
      </c>
      <c r="D14" s="47">
        <v>0</v>
      </c>
      <c r="E14" s="47">
        <v>1</v>
      </c>
      <c r="F14" s="119">
        <v>1</v>
      </c>
      <c r="G14" s="119">
        <v>1</v>
      </c>
      <c r="H14" s="136" t="s">
        <v>106</v>
      </c>
      <c r="I14" s="45">
        <v>0</v>
      </c>
      <c r="J14" s="46">
        <v>2</v>
      </c>
      <c r="K14" s="46">
        <v>0</v>
      </c>
      <c r="L14" s="46">
        <v>1</v>
      </c>
      <c r="M14" s="46">
        <v>0</v>
      </c>
      <c r="N14" s="49">
        <v>0</v>
      </c>
      <c r="O14" s="15"/>
      <c r="P14" s="45">
        <v>0</v>
      </c>
      <c r="Q14" s="46">
        <v>3</v>
      </c>
      <c r="R14" s="46">
        <v>0</v>
      </c>
      <c r="S14" s="46">
        <v>1</v>
      </c>
      <c r="T14" s="46">
        <v>1</v>
      </c>
      <c r="U14" s="60">
        <v>1</v>
      </c>
      <c r="V14" s="136" t="s">
        <v>106</v>
      </c>
    </row>
    <row r="15" spans="1:22" ht="128" customHeight="1" thickBot="1" x14ac:dyDescent="0.25">
      <c r="A15" s="23" t="s">
        <v>31</v>
      </c>
      <c r="B15" s="57">
        <v>0</v>
      </c>
      <c r="C15" s="58">
        <v>4</v>
      </c>
      <c r="D15" s="58">
        <v>0</v>
      </c>
      <c r="E15" s="58">
        <v>1</v>
      </c>
      <c r="F15" s="120">
        <v>2</v>
      </c>
      <c r="G15" s="120">
        <v>4</v>
      </c>
      <c r="H15" s="39" t="s">
        <v>136</v>
      </c>
      <c r="I15" s="53">
        <v>0</v>
      </c>
      <c r="J15" s="54">
        <v>4</v>
      </c>
      <c r="K15" s="54">
        <v>0</v>
      </c>
      <c r="L15" s="54">
        <v>1</v>
      </c>
      <c r="M15" s="54">
        <v>2</v>
      </c>
      <c r="N15" s="55">
        <v>5</v>
      </c>
      <c r="O15" s="19" t="s">
        <v>137</v>
      </c>
      <c r="P15" s="53">
        <v>0</v>
      </c>
      <c r="Q15" s="54">
        <v>5</v>
      </c>
      <c r="R15" s="54">
        <v>0</v>
      </c>
      <c r="S15" s="54">
        <v>1</v>
      </c>
      <c r="T15" s="54">
        <v>3</v>
      </c>
      <c r="U15" s="64">
        <v>3</v>
      </c>
      <c r="V15" s="137" t="s">
        <v>108</v>
      </c>
    </row>
  </sheetData>
  <mergeCells count="3">
    <mergeCell ref="B2:H2"/>
    <mergeCell ref="I2:O2"/>
    <mergeCell ref="P2:V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A6E6-F480-FF46-A03B-6E633468F428}">
  <dimension ref="A1:AC92"/>
  <sheetViews>
    <sheetView topLeftCell="A7" zoomScale="84" workbookViewId="0">
      <selection activeCell="A77" sqref="A77:M92"/>
    </sheetView>
  </sheetViews>
  <sheetFormatPr baseColWidth="10" defaultRowHeight="16" x14ac:dyDescent="0.2"/>
  <cols>
    <col min="1" max="1" width="26.83203125" customWidth="1"/>
    <col min="2" max="2" width="9.83203125" customWidth="1"/>
    <col min="3" max="3" width="10.33203125" customWidth="1"/>
    <col min="4" max="4" width="10.6640625" customWidth="1"/>
    <col min="5" max="5" width="10.33203125" customWidth="1"/>
    <col min="6" max="6" width="11.33203125" customWidth="1"/>
    <col min="7" max="7" width="48" customWidth="1"/>
    <col min="13" max="13" width="48.33203125" style="1" customWidth="1"/>
    <col min="19" max="19" width="43.83203125" style="1" customWidth="1"/>
    <col min="20" max="29" width="11.83203125" bestFit="1" customWidth="1"/>
  </cols>
  <sheetData>
    <row r="1" spans="1:29" ht="136" customHeight="1" x14ac:dyDescent="0.2">
      <c r="A1" s="8" t="s">
        <v>8</v>
      </c>
      <c r="B1" s="175" t="s">
        <v>4</v>
      </c>
      <c r="C1" s="175"/>
      <c r="D1" s="175"/>
    </row>
    <row r="2" spans="1:29" ht="114" customHeight="1" x14ac:dyDescent="0.2">
      <c r="A2" s="8" t="s">
        <v>10</v>
      </c>
      <c r="B2" s="175" t="s">
        <v>6</v>
      </c>
      <c r="C2" s="175"/>
      <c r="D2" s="175"/>
    </row>
    <row r="3" spans="1:29" ht="123" customHeight="1" x14ac:dyDescent="0.2">
      <c r="A3" s="8" t="s">
        <v>40</v>
      </c>
      <c r="B3" s="175" t="s">
        <v>41</v>
      </c>
      <c r="C3" s="175"/>
      <c r="D3" s="175"/>
    </row>
    <row r="4" spans="1:29" ht="72" customHeight="1" x14ac:dyDescent="0.2">
      <c r="A4" s="8" t="s">
        <v>11</v>
      </c>
      <c r="B4" s="175" t="s">
        <v>2</v>
      </c>
      <c r="C4" s="175"/>
      <c r="D4" s="175"/>
    </row>
    <row r="5" spans="1:29" ht="105" customHeight="1" x14ac:dyDescent="0.2">
      <c r="A5" s="8" t="s">
        <v>13</v>
      </c>
      <c r="B5" s="175" t="s">
        <v>5</v>
      </c>
      <c r="C5" s="175"/>
      <c r="D5" s="175"/>
    </row>
    <row r="6" spans="1:29" ht="80" customHeight="1" x14ac:dyDescent="0.2">
      <c r="A6" s="8" t="s">
        <v>15</v>
      </c>
      <c r="B6" s="175" t="s">
        <v>23</v>
      </c>
      <c r="C6" s="175"/>
      <c r="D6" s="175"/>
    </row>
    <row r="7" spans="1:29" ht="123" customHeight="1" x14ac:dyDescent="0.2">
      <c r="A7" s="8" t="s">
        <v>16</v>
      </c>
      <c r="B7" s="175" t="s">
        <v>3</v>
      </c>
      <c r="C7" s="175"/>
      <c r="D7" s="175"/>
    </row>
    <row r="8" spans="1:29" ht="34" customHeight="1" x14ac:dyDescent="0.2">
      <c r="A8" s="22" t="s">
        <v>33</v>
      </c>
      <c r="B8" s="176" t="s">
        <v>34</v>
      </c>
      <c r="C8" s="176"/>
      <c r="D8" s="176"/>
    </row>
    <row r="9" spans="1:29" ht="34" customHeight="1" x14ac:dyDescent="0.2">
      <c r="A9" s="22" t="s">
        <v>35</v>
      </c>
      <c r="B9" s="176" t="s">
        <v>36</v>
      </c>
      <c r="C9" s="176"/>
      <c r="D9" s="176"/>
    </row>
    <row r="11" spans="1:29" ht="48" customHeight="1" x14ac:dyDescent="0.2">
      <c r="A11" s="177" t="s">
        <v>73</v>
      </c>
      <c r="B11" s="177"/>
      <c r="C11" s="177"/>
      <c r="D11" s="177"/>
      <c r="E11" s="177"/>
      <c r="F11" s="177"/>
      <c r="G11" s="177"/>
      <c r="H11" s="177"/>
      <c r="I11" s="177"/>
      <c r="J11" s="177"/>
      <c r="K11" s="177"/>
      <c r="L11" s="177"/>
      <c r="M11" s="177"/>
      <c r="N11" s="177"/>
      <c r="O11" s="177"/>
      <c r="P11" s="177"/>
      <c r="Q11" s="177"/>
      <c r="R11" s="177"/>
      <c r="S11" s="177"/>
      <c r="T11" s="177"/>
      <c r="U11" s="177"/>
      <c r="V11" s="177"/>
      <c r="W11" s="177"/>
      <c r="X11" s="177"/>
      <c r="Y11" s="177"/>
      <c r="Z11" s="177"/>
      <c r="AA11" s="177"/>
      <c r="AB11" s="177"/>
      <c r="AC11" s="177"/>
    </row>
    <row r="12" spans="1:29" ht="17" thickBot="1" x14ac:dyDescent="0.25"/>
    <row r="13" spans="1:29" ht="23" thickBot="1" x14ac:dyDescent="0.25">
      <c r="B13" s="166" t="s">
        <v>18</v>
      </c>
      <c r="C13" s="167"/>
      <c r="D13" s="167"/>
      <c r="E13" s="167"/>
      <c r="F13" s="167"/>
      <c r="G13" s="168"/>
      <c r="H13" s="166" t="s">
        <v>19</v>
      </c>
      <c r="I13" s="167"/>
      <c r="J13" s="167"/>
      <c r="K13" s="167"/>
      <c r="L13" s="167"/>
      <c r="M13" s="168"/>
      <c r="N13" s="169" t="s">
        <v>20</v>
      </c>
      <c r="O13" s="170"/>
      <c r="P13" s="170"/>
      <c r="Q13" s="170"/>
      <c r="R13" s="170"/>
      <c r="S13" s="171"/>
      <c r="T13" s="169" t="s">
        <v>21</v>
      </c>
      <c r="U13" s="170"/>
      <c r="V13" s="170"/>
      <c r="W13" s="170"/>
      <c r="X13" s="171"/>
      <c r="Y13" s="169" t="s">
        <v>22</v>
      </c>
      <c r="Z13" s="170"/>
      <c r="AA13" s="170"/>
      <c r="AB13" s="170"/>
      <c r="AC13" s="171"/>
    </row>
    <row r="14" spans="1:29" ht="22" x14ac:dyDescent="0.3">
      <c r="A14" s="9" t="s">
        <v>7</v>
      </c>
      <c r="B14" s="5" t="s">
        <v>9</v>
      </c>
      <c r="C14" s="6" t="s">
        <v>25</v>
      </c>
      <c r="D14" s="6" t="s">
        <v>12</v>
      </c>
      <c r="E14" s="6" t="s">
        <v>14</v>
      </c>
      <c r="F14" s="7" t="s">
        <v>17</v>
      </c>
      <c r="G14" s="14" t="s">
        <v>26</v>
      </c>
      <c r="H14" s="5" t="s">
        <v>9</v>
      </c>
      <c r="I14" s="6" t="s">
        <v>25</v>
      </c>
      <c r="J14" s="6" t="s">
        <v>12</v>
      </c>
      <c r="K14" s="6" t="s">
        <v>14</v>
      </c>
      <c r="L14" s="7" t="s">
        <v>17</v>
      </c>
      <c r="M14" s="29" t="s">
        <v>26</v>
      </c>
      <c r="N14" s="3" t="s">
        <v>9</v>
      </c>
      <c r="O14" s="2" t="s">
        <v>25</v>
      </c>
      <c r="P14" s="2" t="s">
        <v>12</v>
      </c>
      <c r="Q14" s="2" t="s">
        <v>14</v>
      </c>
      <c r="R14" s="4" t="s">
        <v>17</v>
      </c>
      <c r="S14" s="18" t="s">
        <v>26</v>
      </c>
      <c r="T14" s="10" t="s">
        <v>9</v>
      </c>
      <c r="U14" s="25" t="s">
        <v>25</v>
      </c>
      <c r="V14" s="11" t="s">
        <v>12</v>
      </c>
      <c r="W14" s="11" t="s">
        <v>14</v>
      </c>
      <c r="X14" s="13" t="s">
        <v>17</v>
      </c>
      <c r="Y14" s="10" t="s">
        <v>9</v>
      </c>
      <c r="Z14" s="11" t="s">
        <v>25</v>
      </c>
      <c r="AA14" s="11" t="s">
        <v>12</v>
      </c>
      <c r="AB14" s="11" t="s">
        <v>14</v>
      </c>
      <c r="AC14" s="13" t="s">
        <v>17</v>
      </c>
    </row>
    <row r="15" spans="1:29" ht="83" customHeight="1" x14ac:dyDescent="0.2">
      <c r="A15" s="16" t="s">
        <v>0</v>
      </c>
      <c r="B15" s="45">
        <v>0</v>
      </c>
      <c r="C15" s="46">
        <v>2</v>
      </c>
      <c r="D15" s="47">
        <v>0</v>
      </c>
      <c r="E15" s="46">
        <v>1</v>
      </c>
      <c r="F15" s="48">
        <v>0</v>
      </c>
      <c r="G15" s="15"/>
      <c r="H15" s="45">
        <v>0</v>
      </c>
      <c r="I15" s="46">
        <v>1</v>
      </c>
      <c r="J15" s="46">
        <v>0</v>
      </c>
      <c r="K15" s="46">
        <v>1</v>
      </c>
      <c r="L15" s="49">
        <v>0</v>
      </c>
      <c r="M15" s="27"/>
      <c r="N15" s="45">
        <v>0</v>
      </c>
      <c r="O15" s="46">
        <v>4</v>
      </c>
      <c r="P15" s="46">
        <v>0</v>
      </c>
      <c r="Q15" s="46">
        <v>1</v>
      </c>
      <c r="R15" s="49">
        <v>2</v>
      </c>
      <c r="S15" s="27" t="s">
        <v>62</v>
      </c>
      <c r="T15" s="81">
        <f>AVERAGE(B15,H15,N15)</f>
        <v>0</v>
      </c>
      <c r="U15" s="81">
        <f>AVERAGE(C15,I15,O15)</f>
        <v>2.3333333333333335</v>
      </c>
      <c r="V15" s="81">
        <f>AVERAGE(D15,J15,P15)</f>
        <v>0</v>
      </c>
      <c r="W15" s="81">
        <f>AVERAGE(E15,K15,Q15)</f>
        <v>1</v>
      </c>
      <c r="X15" s="86">
        <f>AVERAGE(F15,L15,R15)</f>
        <v>0.66666666666666663</v>
      </c>
      <c r="Y15" s="82">
        <f>STDEV(B15,H15,N15)</f>
        <v>0</v>
      </c>
      <c r="Z15" s="82">
        <f>STDEV(C15,I15,O15)</f>
        <v>1.5275252316519468</v>
      </c>
      <c r="AA15" s="82">
        <f>STDEV(D15,J15,P15)</f>
        <v>0</v>
      </c>
      <c r="AB15" s="82">
        <f>STDEV(E15,K15,Q15)</f>
        <v>0</v>
      </c>
      <c r="AC15" s="83">
        <f>STDEV(F15,L15,R15)</f>
        <v>1.1547005383792517</v>
      </c>
    </row>
    <row r="16" spans="1:29" ht="106" customHeight="1" x14ac:dyDescent="0.2">
      <c r="A16" s="16" t="s">
        <v>1</v>
      </c>
      <c r="B16" s="45">
        <v>0</v>
      </c>
      <c r="C16" s="46">
        <v>2</v>
      </c>
      <c r="D16" s="46">
        <v>0</v>
      </c>
      <c r="E16" s="46">
        <v>1</v>
      </c>
      <c r="F16" s="49">
        <v>0</v>
      </c>
      <c r="G16" s="15"/>
      <c r="H16" s="45">
        <v>0</v>
      </c>
      <c r="I16" s="46">
        <v>3</v>
      </c>
      <c r="J16" s="46">
        <v>0</v>
      </c>
      <c r="K16" s="46">
        <v>1</v>
      </c>
      <c r="L16" s="49">
        <v>1</v>
      </c>
      <c r="M16" s="15" t="s">
        <v>52</v>
      </c>
      <c r="N16" s="45">
        <v>0</v>
      </c>
      <c r="O16" s="46">
        <v>1</v>
      </c>
      <c r="P16" s="46">
        <v>0</v>
      </c>
      <c r="Q16" s="46">
        <v>0</v>
      </c>
      <c r="R16" s="49">
        <v>0</v>
      </c>
      <c r="S16" s="15" t="s">
        <v>63</v>
      </c>
      <c r="T16" s="81">
        <f>AVERAGE(B16,H16,N16)</f>
        <v>0</v>
      </c>
      <c r="U16" s="81">
        <f t="shared" ref="U16:U18" si="0">AVERAGE(C16,I16,O16)</f>
        <v>2</v>
      </c>
      <c r="V16" s="81">
        <f t="shared" ref="V16:X18" si="1">AVERAGE(D16,J16,P16)</f>
        <v>0</v>
      </c>
      <c r="W16" s="81">
        <f t="shared" si="1"/>
        <v>0.66666666666666663</v>
      </c>
      <c r="X16" s="86">
        <f t="shared" si="1"/>
        <v>0.33333333333333331</v>
      </c>
      <c r="Y16" s="82">
        <f>STDEV(B16,H16,N16)</f>
        <v>0</v>
      </c>
      <c r="Z16" s="82">
        <f t="shared" ref="Z16:Z18" si="2">STDEV(C16,I16,O16)</f>
        <v>1</v>
      </c>
      <c r="AA16" s="82">
        <f>STDEV(D16,J16,P16)</f>
        <v>0</v>
      </c>
      <c r="AB16" s="82">
        <f t="shared" ref="AB16:AC18" si="3">STDEV(E16,K16,Q16)</f>
        <v>0.57735026918962584</v>
      </c>
      <c r="AC16" s="83">
        <f t="shared" si="3"/>
        <v>0.57735026918962584</v>
      </c>
    </row>
    <row r="17" spans="1:29" ht="106" customHeight="1" x14ac:dyDescent="0.2">
      <c r="A17" s="41" t="s">
        <v>75</v>
      </c>
      <c r="B17" s="50">
        <v>0</v>
      </c>
      <c r="C17" s="51">
        <v>2</v>
      </c>
      <c r="D17" s="51">
        <v>0</v>
      </c>
      <c r="E17" s="51">
        <v>1</v>
      </c>
      <c r="F17" s="52">
        <v>0</v>
      </c>
      <c r="G17" s="42"/>
      <c r="H17" s="50">
        <v>0</v>
      </c>
      <c r="I17" s="51">
        <v>3</v>
      </c>
      <c r="J17" s="51">
        <v>0</v>
      </c>
      <c r="K17" s="51">
        <v>1</v>
      </c>
      <c r="L17" s="52">
        <v>1</v>
      </c>
      <c r="M17" s="15" t="s">
        <v>52</v>
      </c>
      <c r="N17" s="50">
        <v>0</v>
      </c>
      <c r="O17" s="51">
        <v>1</v>
      </c>
      <c r="P17" s="51">
        <v>0</v>
      </c>
      <c r="Q17" s="51">
        <v>1</v>
      </c>
      <c r="R17" s="52">
        <v>0</v>
      </c>
      <c r="S17" s="42"/>
      <c r="T17" s="81">
        <f>AVERAGE(B17,H17,N17)</f>
        <v>0</v>
      </c>
      <c r="U17" s="81">
        <f t="shared" ref="U17" si="4">AVERAGE(C17,I17,O17)</f>
        <v>2</v>
      </c>
      <c r="V17" s="81">
        <f t="shared" ref="V17" si="5">AVERAGE(D17,J17,P17)</f>
        <v>0</v>
      </c>
      <c r="W17" s="81">
        <f t="shared" ref="W17" si="6">AVERAGE(E17,K17,Q17)</f>
        <v>1</v>
      </c>
      <c r="X17" s="86">
        <f t="shared" ref="X17" si="7">AVERAGE(F17,L17,R17)</f>
        <v>0.33333333333333331</v>
      </c>
      <c r="Y17" s="82">
        <f>STDEV(B17,H17,N17)</f>
        <v>0</v>
      </c>
      <c r="Z17" s="82">
        <f t="shared" ref="Z17" si="8">STDEV(C17,I17,O17)</f>
        <v>1</v>
      </c>
      <c r="AA17" s="82">
        <f>STDEV(D17,J17,P17)</f>
        <v>0</v>
      </c>
      <c r="AB17" s="82">
        <f t="shared" ref="AB17" si="9">STDEV(E17,K17,Q17)</f>
        <v>0</v>
      </c>
      <c r="AC17" s="83">
        <f t="shared" ref="AC17" si="10">STDEV(F17,L17,R17)</f>
        <v>0.57735026918962584</v>
      </c>
    </row>
    <row r="18" spans="1:29" ht="106" customHeight="1" thickBot="1" x14ac:dyDescent="0.25">
      <c r="A18" s="17" t="s">
        <v>27</v>
      </c>
      <c r="B18" s="53">
        <v>0</v>
      </c>
      <c r="C18" s="54">
        <v>4</v>
      </c>
      <c r="D18" s="54">
        <v>0</v>
      </c>
      <c r="E18" s="54">
        <v>1</v>
      </c>
      <c r="F18" s="55">
        <v>2</v>
      </c>
      <c r="G18" s="19" t="s">
        <v>43</v>
      </c>
      <c r="H18" s="53">
        <v>0</v>
      </c>
      <c r="I18" s="54">
        <v>4</v>
      </c>
      <c r="J18" s="54">
        <v>0</v>
      </c>
      <c r="K18" s="54">
        <v>1</v>
      </c>
      <c r="L18" s="55">
        <v>2</v>
      </c>
      <c r="M18" s="28" t="s">
        <v>49</v>
      </c>
      <c r="N18" s="53">
        <v>0</v>
      </c>
      <c r="O18" s="54">
        <v>4</v>
      </c>
      <c r="P18" s="54">
        <v>0</v>
      </c>
      <c r="Q18" s="54">
        <v>1</v>
      </c>
      <c r="R18" s="55">
        <v>2</v>
      </c>
      <c r="S18" s="28" t="s">
        <v>62</v>
      </c>
      <c r="T18" s="87">
        <f>AVERAGE(B18,H18,N18)</f>
        <v>0</v>
      </c>
      <c r="U18" s="87">
        <f t="shared" si="0"/>
        <v>4</v>
      </c>
      <c r="V18" s="87">
        <f t="shared" si="1"/>
        <v>0</v>
      </c>
      <c r="W18" s="87">
        <f t="shared" si="1"/>
        <v>1</v>
      </c>
      <c r="X18" s="88">
        <f t="shared" si="1"/>
        <v>2</v>
      </c>
      <c r="Y18" s="84">
        <f>STDEV(B18,H18,N18)</f>
        <v>0</v>
      </c>
      <c r="Z18" s="84">
        <f t="shared" si="2"/>
        <v>0</v>
      </c>
      <c r="AA18" s="84">
        <f>STDEV(D18,J18,P18)</f>
        <v>0</v>
      </c>
      <c r="AB18" s="84">
        <f t="shared" si="3"/>
        <v>0</v>
      </c>
      <c r="AC18" s="85">
        <f t="shared" si="3"/>
        <v>0</v>
      </c>
    </row>
    <row r="19" spans="1:29" x14ac:dyDescent="0.2">
      <c r="Y19" s="26"/>
    </row>
    <row r="21" spans="1:29" ht="17" thickBot="1" x14ac:dyDescent="0.25"/>
    <row r="22" spans="1:29" ht="23" thickBot="1" x14ac:dyDescent="0.25">
      <c r="B22" s="166" t="s">
        <v>18</v>
      </c>
      <c r="C22" s="167"/>
      <c r="D22" s="167"/>
      <c r="E22" s="167"/>
      <c r="F22" s="167"/>
      <c r="G22" s="167"/>
      <c r="H22" s="178" t="s">
        <v>19</v>
      </c>
      <c r="I22" s="179"/>
      <c r="J22" s="179"/>
      <c r="K22" s="179"/>
      <c r="L22" s="179"/>
      <c r="M22" s="168"/>
      <c r="N22" s="169" t="s">
        <v>20</v>
      </c>
      <c r="O22" s="170"/>
      <c r="P22" s="170"/>
      <c r="Q22" s="170"/>
      <c r="R22" s="170"/>
      <c r="S22" s="171"/>
      <c r="T22" s="169" t="s">
        <v>21</v>
      </c>
      <c r="U22" s="170"/>
      <c r="V22" s="170"/>
      <c r="W22" s="170"/>
      <c r="X22" s="171"/>
      <c r="Y22" s="169" t="s">
        <v>22</v>
      </c>
      <c r="Z22" s="170"/>
      <c r="AA22" s="170"/>
      <c r="AB22" s="170"/>
      <c r="AC22" s="171"/>
    </row>
    <row r="23" spans="1:29" ht="22" x14ac:dyDescent="0.3">
      <c r="A23" s="9" t="s">
        <v>7</v>
      </c>
      <c r="B23" s="5" t="s">
        <v>9</v>
      </c>
      <c r="C23" s="6" t="s">
        <v>25</v>
      </c>
      <c r="D23" s="6" t="s">
        <v>12</v>
      </c>
      <c r="E23" s="6" t="s">
        <v>14</v>
      </c>
      <c r="F23" s="7" t="s">
        <v>17</v>
      </c>
      <c r="G23" s="14" t="s">
        <v>26</v>
      </c>
      <c r="H23" s="33" t="s">
        <v>9</v>
      </c>
      <c r="I23" s="12" t="s">
        <v>25</v>
      </c>
      <c r="J23" s="12" t="s">
        <v>12</v>
      </c>
      <c r="K23" s="12" t="s">
        <v>14</v>
      </c>
      <c r="L23" s="34" t="s">
        <v>17</v>
      </c>
      <c r="M23" s="30" t="s">
        <v>26</v>
      </c>
      <c r="N23" s="3" t="s">
        <v>9</v>
      </c>
      <c r="O23" s="2" t="s">
        <v>25</v>
      </c>
      <c r="P23" s="2" t="s">
        <v>12</v>
      </c>
      <c r="Q23" s="2" t="s">
        <v>14</v>
      </c>
      <c r="R23" s="4" t="s">
        <v>17</v>
      </c>
      <c r="S23" s="18" t="s">
        <v>26</v>
      </c>
      <c r="T23" s="10" t="s">
        <v>9</v>
      </c>
      <c r="U23" s="25" t="s">
        <v>25</v>
      </c>
      <c r="V23" s="11" t="s">
        <v>12</v>
      </c>
      <c r="W23" s="11" t="s">
        <v>14</v>
      </c>
      <c r="X23" s="13" t="s">
        <v>17</v>
      </c>
      <c r="Y23" s="10" t="s">
        <v>9</v>
      </c>
      <c r="Z23" s="11" t="s">
        <v>25</v>
      </c>
      <c r="AA23" s="11" t="s">
        <v>12</v>
      </c>
      <c r="AB23" s="11" t="s">
        <v>14</v>
      </c>
      <c r="AC23" s="13" t="s">
        <v>17</v>
      </c>
    </row>
    <row r="24" spans="1:29" ht="104" customHeight="1" x14ac:dyDescent="0.2">
      <c r="A24" s="16" t="s">
        <v>24</v>
      </c>
      <c r="B24" s="45">
        <v>0</v>
      </c>
      <c r="C24" s="46">
        <v>6</v>
      </c>
      <c r="D24" s="46">
        <v>0</v>
      </c>
      <c r="E24" s="46">
        <v>1</v>
      </c>
      <c r="F24" s="49">
        <v>4</v>
      </c>
      <c r="G24" s="15" t="s">
        <v>44</v>
      </c>
      <c r="H24" s="45">
        <v>0</v>
      </c>
      <c r="I24" s="46">
        <v>3</v>
      </c>
      <c r="J24" s="46">
        <v>0</v>
      </c>
      <c r="K24" s="46">
        <v>1</v>
      </c>
      <c r="L24" s="49">
        <v>1</v>
      </c>
      <c r="M24" s="32" t="s">
        <v>56</v>
      </c>
      <c r="N24" s="45">
        <v>2</v>
      </c>
      <c r="O24" s="46">
        <v>5</v>
      </c>
      <c r="P24" s="46">
        <v>0</v>
      </c>
      <c r="Q24" s="46">
        <v>0</v>
      </c>
      <c r="R24" s="49">
        <v>2</v>
      </c>
      <c r="S24" s="15" t="s">
        <v>66</v>
      </c>
      <c r="T24" s="81">
        <f>AVERAGE(B24,H24,N24)</f>
        <v>0.66666666666666663</v>
      </c>
      <c r="U24" s="81">
        <f t="shared" ref="U24:U26" si="11">AVERAGE(C24,I24,O24)</f>
        <v>4.666666666666667</v>
      </c>
      <c r="V24" s="81">
        <f t="shared" ref="V24:X26" si="12">AVERAGE(D24,J24,P24)</f>
        <v>0</v>
      </c>
      <c r="W24" s="81">
        <f t="shared" si="12"/>
        <v>0.66666666666666663</v>
      </c>
      <c r="X24" s="81">
        <f t="shared" si="12"/>
        <v>2.3333333333333335</v>
      </c>
      <c r="Y24" s="82">
        <f>STDEV(B24,H24,N24)</f>
        <v>1.1547005383792517</v>
      </c>
      <c r="Z24" s="82">
        <f t="shared" ref="Z24:Z26" si="13">STDEV(C24,I24,O24)</f>
        <v>1.5275252316519474</v>
      </c>
      <c r="AA24" s="82">
        <f t="shared" ref="AA24:AC26" si="14">STDEV(D24,J24,P24)</f>
        <v>0</v>
      </c>
      <c r="AB24" s="82">
        <f t="shared" si="14"/>
        <v>0.57735026918962584</v>
      </c>
      <c r="AC24" s="83">
        <f t="shared" si="14"/>
        <v>1.5275252316519468</v>
      </c>
    </row>
    <row r="25" spans="1:29" ht="104" customHeight="1" x14ac:dyDescent="0.2">
      <c r="A25" s="16" t="s">
        <v>76</v>
      </c>
      <c r="B25" s="45">
        <v>0</v>
      </c>
      <c r="C25" s="46">
        <v>4</v>
      </c>
      <c r="D25" s="46">
        <v>0</v>
      </c>
      <c r="E25" s="46">
        <v>1</v>
      </c>
      <c r="F25" s="49">
        <v>3</v>
      </c>
      <c r="G25" s="15" t="s">
        <v>78</v>
      </c>
      <c r="H25" s="45">
        <v>0</v>
      </c>
      <c r="I25" s="46">
        <v>4</v>
      </c>
      <c r="J25" s="46">
        <v>0</v>
      </c>
      <c r="K25" s="46">
        <v>1</v>
      </c>
      <c r="L25" s="49">
        <v>3</v>
      </c>
      <c r="M25" s="15" t="s">
        <v>78</v>
      </c>
      <c r="N25" s="45">
        <v>4</v>
      </c>
      <c r="O25" s="46">
        <v>7</v>
      </c>
      <c r="P25" s="46">
        <v>0</v>
      </c>
      <c r="Q25" s="46">
        <v>0</v>
      </c>
      <c r="R25" s="49">
        <v>2</v>
      </c>
      <c r="S25" s="15" t="s">
        <v>80</v>
      </c>
      <c r="T25" s="81">
        <f>AVERAGE(B25,H25,N25)</f>
        <v>1.3333333333333333</v>
      </c>
      <c r="U25" s="81">
        <f t="shared" ref="U25" si="15">AVERAGE(C25,I25,O25)</f>
        <v>5</v>
      </c>
      <c r="V25" s="81">
        <f t="shared" ref="V25" si="16">AVERAGE(D25,J25,P25)</f>
        <v>0</v>
      </c>
      <c r="W25" s="81">
        <f t="shared" ref="W25" si="17">AVERAGE(E25,K25,Q25)</f>
        <v>0.66666666666666663</v>
      </c>
      <c r="X25" s="81">
        <f t="shared" ref="X25" si="18">AVERAGE(F25,L25,R25)</f>
        <v>2.6666666666666665</v>
      </c>
      <c r="Y25" s="82">
        <f>STDEV(B25,H25,N25)</f>
        <v>2.3094010767585034</v>
      </c>
      <c r="Z25" s="82">
        <f t="shared" ref="Z25" si="19">STDEV(C25,I25,O25)</f>
        <v>1.7320508075688772</v>
      </c>
      <c r="AA25" s="82">
        <f t="shared" ref="AA25" si="20">STDEV(D25,J25,P25)</f>
        <v>0</v>
      </c>
      <c r="AB25" s="82">
        <f t="shared" ref="AB25" si="21">STDEV(E25,K25,Q25)</f>
        <v>0.57735026918962584</v>
      </c>
      <c r="AC25" s="83">
        <f t="shared" ref="AC25" si="22">STDEV(F25,L25,R25)</f>
        <v>0.57735026918962629</v>
      </c>
    </row>
    <row r="26" spans="1:29" ht="156" customHeight="1" x14ac:dyDescent="0.2">
      <c r="A26" s="16" t="s">
        <v>28</v>
      </c>
      <c r="B26" s="45">
        <v>0</v>
      </c>
      <c r="C26" s="46">
        <v>4</v>
      </c>
      <c r="D26" s="46">
        <v>0</v>
      </c>
      <c r="E26" s="46">
        <v>1</v>
      </c>
      <c r="F26" s="49">
        <v>2</v>
      </c>
      <c r="G26" s="15" t="s">
        <v>45</v>
      </c>
      <c r="H26" s="45">
        <v>0</v>
      </c>
      <c r="I26" s="46">
        <v>4</v>
      </c>
      <c r="J26" s="46">
        <v>0</v>
      </c>
      <c r="K26" s="46">
        <v>1</v>
      </c>
      <c r="L26" s="49">
        <v>3</v>
      </c>
      <c r="M26" s="31" t="s">
        <v>58</v>
      </c>
      <c r="N26" s="45">
        <v>0</v>
      </c>
      <c r="O26" s="46">
        <v>4</v>
      </c>
      <c r="P26" s="46">
        <v>0</v>
      </c>
      <c r="Q26" s="46">
        <v>1</v>
      </c>
      <c r="R26" s="49">
        <v>3</v>
      </c>
      <c r="S26" s="15" t="s">
        <v>68</v>
      </c>
      <c r="T26" s="81">
        <f>AVERAGE(B26,H26,N26)</f>
        <v>0</v>
      </c>
      <c r="U26" s="81">
        <f t="shared" si="11"/>
        <v>4</v>
      </c>
      <c r="V26" s="81">
        <f t="shared" si="12"/>
        <v>0</v>
      </c>
      <c r="W26" s="81">
        <f t="shared" si="12"/>
        <v>1</v>
      </c>
      <c r="X26" s="81">
        <f t="shared" si="12"/>
        <v>2.6666666666666665</v>
      </c>
      <c r="Y26" s="82">
        <f>STDEV(B26,H26,N26)</f>
        <v>0</v>
      </c>
      <c r="Z26" s="82">
        <f t="shared" si="13"/>
        <v>0</v>
      </c>
      <c r="AA26" s="82">
        <f t="shared" si="14"/>
        <v>0</v>
      </c>
      <c r="AB26" s="82">
        <f t="shared" si="14"/>
        <v>0</v>
      </c>
      <c r="AC26" s="83">
        <f t="shared" si="14"/>
        <v>0.57735026918962629</v>
      </c>
    </row>
    <row r="27" spans="1:29" ht="124" customHeight="1" thickBot="1" x14ac:dyDescent="0.25">
      <c r="A27" s="17" t="s">
        <v>29</v>
      </c>
      <c r="B27" s="53">
        <v>0</v>
      </c>
      <c r="C27" s="54">
        <v>4</v>
      </c>
      <c r="D27" s="54">
        <v>0</v>
      </c>
      <c r="E27" s="54">
        <v>1</v>
      </c>
      <c r="F27" s="55">
        <v>3</v>
      </c>
      <c r="G27" s="19" t="s">
        <v>69</v>
      </c>
      <c r="H27" s="53">
        <v>0</v>
      </c>
      <c r="I27" s="54">
        <v>3</v>
      </c>
      <c r="J27" s="54">
        <v>0</v>
      </c>
      <c r="K27" s="54">
        <v>1</v>
      </c>
      <c r="L27" s="55">
        <v>1</v>
      </c>
      <c r="M27" s="40" t="s">
        <v>70</v>
      </c>
      <c r="N27" s="53">
        <v>0</v>
      </c>
      <c r="O27" s="54">
        <v>4</v>
      </c>
      <c r="P27" s="54">
        <v>0</v>
      </c>
      <c r="Q27" s="54">
        <v>1</v>
      </c>
      <c r="R27" s="55">
        <v>2</v>
      </c>
      <c r="S27" s="28" t="s">
        <v>71</v>
      </c>
      <c r="T27" s="87">
        <f>AVERAGE(B27,H34,N27)</f>
        <v>0</v>
      </c>
      <c r="U27" s="87">
        <f>AVERAGE(C27,I34,O27)</f>
        <v>4.333333333333333</v>
      </c>
      <c r="V27" s="87">
        <f>AVERAGE(D27,J34,P27)</f>
        <v>0</v>
      </c>
      <c r="W27" s="87">
        <f>AVERAGE(E27,K34,Q27)</f>
        <v>1</v>
      </c>
      <c r="X27" s="87">
        <f>AVERAGE(F27,L34,R27)</f>
        <v>3</v>
      </c>
      <c r="Y27" s="84">
        <f>STDEV(B27,H34,N27)</f>
        <v>0</v>
      </c>
      <c r="Z27" s="84">
        <f>STDEV(C27,I34,O27)</f>
        <v>0.57735026918962473</v>
      </c>
      <c r="AA27" s="84">
        <f>STDEV(D27,J34,P27)</f>
        <v>0</v>
      </c>
      <c r="AB27" s="84">
        <f>STDEV(E27,K34,Q27)</f>
        <v>0</v>
      </c>
      <c r="AC27" s="85">
        <f>STDEV(F27,L34,R27)</f>
        <v>1</v>
      </c>
    </row>
    <row r="31" spans="1:29" ht="17" thickBot="1" x14ac:dyDescent="0.25"/>
    <row r="32" spans="1:29" ht="23" thickBot="1" x14ac:dyDescent="0.25">
      <c r="B32" s="166" t="s">
        <v>18</v>
      </c>
      <c r="C32" s="167"/>
      <c r="D32" s="167"/>
      <c r="E32" s="167"/>
      <c r="F32" s="167"/>
      <c r="G32" s="168"/>
      <c r="H32" s="166" t="s">
        <v>19</v>
      </c>
      <c r="I32" s="167"/>
      <c r="J32" s="167"/>
      <c r="K32" s="167"/>
      <c r="L32" s="167"/>
      <c r="M32" s="168"/>
      <c r="N32" s="169" t="s">
        <v>20</v>
      </c>
      <c r="O32" s="170"/>
      <c r="P32" s="170"/>
      <c r="Q32" s="170"/>
      <c r="R32" s="170"/>
      <c r="S32" s="171"/>
      <c r="T32" s="169" t="s">
        <v>21</v>
      </c>
      <c r="U32" s="170"/>
      <c r="V32" s="170"/>
      <c r="W32" s="170"/>
      <c r="X32" s="171"/>
      <c r="Y32" s="169" t="s">
        <v>22</v>
      </c>
      <c r="Z32" s="170"/>
      <c r="AA32" s="170"/>
      <c r="AB32" s="170"/>
      <c r="AC32" s="171"/>
    </row>
    <row r="33" spans="1:29" ht="22" x14ac:dyDescent="0.3">
      <c r="A33" s="9" t="s">
        <v>7</v>
      </c>
      <c r="B33" s="5" t="s">
        <v>9</v>
      </c>
      <c r="C33" s="6" t="s">
        <v>25</v>
      </c>
      <c r="D33" s="6" t="s">
        <v>12</v>
      </c>
      <c r="E33" s="6" t="s">
        <v>14</v>
      </c>
      <c r="F33" s="7" t="s">
        <v>17</v>
      </c>
      <c r="G33" s="14" t="s">
        <v>26</v>
      </c>
      <c r="H33" s="33" t="s">
        <v>9</v>
      </c>
      <c r="I33" s="12" t="s">
        <v>25</v>
      </c>
      <c r="J33" s="12" t="s">
        <v>12</v>
      </c>
      <c r="K33" s="12" t="s">
        <v>14</v>
      </c>
      <c r="L33" s="35" t="s">
        <v>17</v>
      </c>
      <c r="M33" s="37" t="s">
        <v>26</v>
      </c>
      <c r="N33" s="36" t="s">
        <v>9</v>
      </c>
      <c r="O33" s="2" t="s">
        <v>25</v>
      </c>
      <c r="P33" s="2" t="s">
        <v>12</v>
      </c>
      <c r="Q33" s="2" t="s">
        <v>14</v>
      </c>
      <c r="R33" s="4" t="s">
        <v>17</v>
      </c>
      <c r="S33" s="18" t="s">
        <v>26</v>
      </c>
      <c r="T33" s="10" t="s">
        <v>9</v>
      </c>
      <c r="U33" s="25" t="s">
        <v>25</v>
      </c>
      <c r="V33" s="11" t="s">
        <v>12</v>
      </c>
      <c r="W33" s="11" t="s">
        <v>14</v>
      </c>
      <c r="X33" s="13" t="s">
        <v>17</v>
      </c>
      <c r="Y33" s="10" t="s">
        <v>9</v>
      </c>
      <c r="Z33" s="11" t="s">
        <v>25</v>
      </c>
      <c r="AA33" s="11" t="s">
        <v>12</v>
      </c>
      <c r="AB33" s="11" t="s">
        <v>14</v>
      </c>
      <c r="AC33" s="13" t="s">
        <v>17</v>
      </c>
    </row>
    <row r="34" spans="1:29" ht="77" customHeight="1" x14ac:dyDescent="0.2">
      <c r="A34" s="20" t="s">
        <v>30</v>
      </c>
      <c r="B34" s="56">
        <v>0</v>
      </c>
      <c r="C34" s="47">
        <v>5</v>
      </c>
      <c r="D34" s="47">
        <v>0</v>
      </c>
      <c r="E34" s="47">
        <v>1</v>
      </c>
      <c r="F34" s="48">
        <v>3</v>
      </c>
      <c r="G34" s="15" t="s">
        <v>46</v>
      </c>
      <c r="H34" s="45">
        <v>0</v>
      </c>
      <c r="I34" s="46">
        <v>5</v>
      </c>
      <c r="J34" s="46">
        <v>0</v>
      </c>
      <c r="K34" s="46">
        <v>1</v>
      </c>
      <c r="L34" s="60">
        <v>4</v>
      </c>
      <c r="M34" s="23" t="s">
        <v>59</v>
      </c>
      <c r="N34" s="65">
        <v>0</v>
      </c>
      <c r="O34" s="46">
        <v>4</v>
      </c>
      <c r="P34" s="46">
        <v>0</v>
      </c>
      <c r="Q34" s="46">
        <v>1</v>
      </c>
      <c r="R34" s="49">
        <v>2</v>
      </c>
      <c r="S34" s="27" t="s">
        <v>49</v>
      </c>
      <c r="T34" s="81">
        <f>AVERAGE(B34,H34,N34)</f>
        <v>0</v>
      </c>
      <c r="U34" s="81">
        <f t="shared" ref="U34:X34" si="23">AVERAGE(C34,I34,O34)</f>
        <v>4.666666666666667</v>
      </c>
      <c r="V34" s="81">
        <f t="shared" si="23"/>
        <v>0</v>
      </c>
      <c r="W34" s="81">
        <f t="shared" si="23"/>
        <v>1</v>
      </c>
      <c r="X34" s="81">
        <f t="shared" si="23"/>
        <v>3</v>
      </c>
      <c r="Y34" s="82">
        <f>STDEV(B34,H34,N34)</f>
        <v>0</v>
      </c>
      <c r="Z34" s="82">
        <f t="shared" ref="Z34:AC34" si="24">STDEV(C34,I34,O34)</f>
        <v>0.57735026918962784</v>
      </c>
      <c r="AA34" s="82">
        <f t="shared" si="24"/>
        <v>0</v>
      </c>
      <c r="AB34" s="82">
        <f t="shared" si="24"/>
        <v>0</v>
      </c>
      <c r="AC34" s="82">
        <f t="shared" si="24"/>
        <v>1</v>
      </c>
    </row>
    <row r="35" spans="1:29" ht="77" customHeight="1" x14ac:dyDescent="0.2">
      <c r="A35" s="20" t="s">
        <v>77</v>
      </c>
      <c r="B35" s="56">
        <v>0</v>
      </c>
      <c r="C35" s="47">
        <v>8</v>
      </c>
      <c r="D35" s="47">
        <v>0</v>
      </c>
      <c r="E35" s="47">
        <v>1</v>
      </c>
      <c r="F35" s="48">
        <v>4</v>
      </c>
      <c r="G35" s="15" t="s">
        <v>44</v>
      </c>
      <c r="H35" s="61">
        <v>0</v>
      </c>
      <c r="I35" s="62">
        <v>4</v>
      </c>
      <c r="J35" s="62">
        <v>0</v>
      </c>
      <c r="K35" s="62">
        <v>1</v>
      </c>
      <c r="L35" s="63">
        <v>2</v>
      </c>
      <c r="M35" s="38" t="s">
        <v>81</v>
      </c>
      <c r="N35" s="65">
        <v>0</v>
      </c>
      <c r="O35" s="46">
        <v>5</v>
      </c>
      <c r="P35" s="46">
        <v>0</v>
      </c>
      <c r="Q35" s="46">
        <v>1</v>
      </c>
      <c r="R35" s="49">
        <v>3</v>
      </c>
      <c r="S35" s="27" t="s">
        <v>32</v>
      </c>
      <c r="T35" s="81">
        <f>AVERAGE(B35,H35,N35)</f>
        <v>0</v>
      </c>
      <c r="U35" s="81">
        <f t="shared" ref="U35" si="25">AVERAGE(C35,I35,O35)</f>
        <v>5.666666666666667</v>
      </c>
      <c r="V35" s="81">
        <f t="shared" ref="V35" si="26">AVERAGE(D35,J35,P35)</f>
        <v>0</v>
      </c>
      <c r="W35" s="81">
        <f t="shared" ref="W35" si="27">AVERAGE(E35,K35,Q35)</f>
        <v>1</v>
      </c>
      <c r="X35" s="81">
        <f t="shared" ref="X35" si="28">AVERAGE(F35,L35,R35)</f>
        <v>3</v>
      </c>
      <c r="Y35" s="82">
        <f>STDEV(B35,H35,N35)</f>
        <v>0</v>
      </c>
      <c r="Z35" s="82">
        <f t="shared" ref="Z35" si="29">STDEV(C35,I35,O35)</f>
        <v>2.0816659994661335</v>
      </c>
      <c r="AA35" s="82">
        <f t="shared" ref="AA35" si="30">STDEV(D35,J35,P35)</f>
        <v>0</v>
      </c>
      <c r="AB35" s="82">
        <f t="shared" ref="AB35" si="31">STDEV(E35,K35,Q35)</f>
        <v>0</v>
      </c>
      <c r="AC35" s="82">
        <f t="shared" ref="AC35" si="32">STDEV(F35,L35,R35)</f>
        <v>1</v>
      </c>
    </row>
    <row r="36" spans="1:29" ht="106" customHeight="1" x14ac:dyDescent="0.2">
      <c r="A36" s="20" t="s">
        <v>47</v>
      </c>
      <c r="B36" s="56">
        <v>0</v>
      </c>
      <c r="C36" s="47">
        <v>3</v>
      </c>
      <c r="D36" s="47">
        <v>0</v>
      </c>
      <c r="E36" s="47">
        <v>1</v>
      </c>
      <c r="F36" s="48">
        <v>1</v>
      </c>
      <c r="G36" s="15" t="s">
        <v>48</v>
      </c>
      <c r="H36" s="61">
        <v>0</v>
      </c>
      <c r="I36" s="62">
        <v>2</v>
      </c>
      <c r="J36" s="62">
        <v>0</v>
      </c>
      <c r="K36" s="62">
        <v>1</v>
      </c>
      <c r="L36" s="63">
        <v>0</v>
      </c>
      <c r="M36" s="38"/>
      <c r="N36" s="65">
        <v>0</v>
      </c>
      <c r="O36" s="46">
        <v>3</v>
      </c>
      <c r="P36" s="46">
        <v>0</v>
      </c>
      <c r="Q36" s="46">
        <v>1</v>
      </c>
      <c r="R36" s="49">
        <v>1</v>
      </c>
      <c r="S36" s="27" t="s">
        <v>72</v>
      </c>
      <c r="T36" s="81">
        <f>AVERAGE(B36,H36,N36)</f>
        <v>0</v>
      </c>
      <c r="U36" s="81">
        <f t="shared" ref="U36:U37" si="33">AVERAGE(C36,I36,O36)</f>
        <v>2.6666666666666665</v>
      </c>
      <c r="V36" s="81">
        <f t="shared" ref="V36:X37" si="34">AVERAGE(D36,J36,P36)</f>
        <v>0</v>
      </c>
      <c r="W36" s="81">
        <f t="shared" si="34"/>
        <v>1</v>
      </c>
      <c r="X36" s="81">
        <f t="shared" si="34"/>
        <v>0.66666666666666663</v>
      </c>
      <c r="Y36" s="82">
        <f>STDEV(B36,H36,N36)</f>
        <v>0</v>
      </c>
      <c r="Z36" s="82">
        <f t="shared" ref="Z36:Z37" si="35">STDEV(C36,I36,O36)</f>
        <v>0.57735026918962629</v>
      </c>
      <c r="AA36" s="82">
        <f t="shared" ref="AA36:AC37" si="36">STDEV(D36,J36,P36)</f>
        <v>0</v>
      </c>
      <c r="AB36" s="82">
        <f t="shared" si="36"/>
        <v>0</v>
      </c>
      <c r="AC36" s="83">
        <f t="shared" si="36"/>
        <v>0.57735026918962584</v>
      </c>
    </row>
    <row r="37" spans="1:29" ht="128" customHeight="1" thickBot="1" x14ac:dyDescent="0.25">
      <c r="A37" s="20" t="s">
        <v>31</v>
      </c>
      <c r="B37" s="57">
        <v>0</v>
      </c>
      <c r="C37" s="58">
        <v>4</v>
      </c>
      <c r="D37" s="58">
        <v>0</v>
      </c>
      <c r="E37" s="58">
        <v>1</v>
      </c>
      <c r="F37" s="59">
        <v>4</v>
      </c>
      <c r="G37" s="19" t="s">
        <v>50</v>
      </c>
      <c r="H37" s="53">
        <v>0</v>
      </c>
      <c r="I37" s="54">
        <v>4</v>
      </c>
      <c r="J37" s="54">
        <v>0</v>
      </c>
      <c r="K37" s="54">
        <v>1</v>
      </c>
      <c r="L37" s="64">
        <v>5</v>
      </c>
      <c r="M37" s="39" t="s">
        <v>60</v>
      </c>
      <c r="N37" s="66">
        <v>0</v>
      </c>
      <c r="O37" s="54">
        <v>5</v>
      </c>
      <c r="P37" s="54">
        <v>0</v>
      </c>
      <c r="Q37" s="54">
        <v>1</v>
      </c>
      <c r="R37" s="55">
        <v>3</v>
      </c>
      <c r="S37" s="19" t="s">
        <v>32</v>
      </c>
      <c r="T37" s="87">
        <f>AVERAGE(B37,H37,N37)</f>
        <v>0</v>
      </c>
      <c r="U37" s="87">
        <f t="shared" si="33"/>
        <v>4.333333333333333</v>
      </c>
      <c r="V37" s="87">
        <f t="shared" si="34"/>
        <v>0</v>
      </c>
      <c r="W37" s="87">
        <f t="shared" si="34"/>
        <v>1</v>
      </c>
      <c r="X37" s="87">
        <f t="shared" si="34"/>
        <v>4</v>
      </c>
      <c r="Y37" s="84">
        <f>STDEV(B37,H37,N37)</f>
        <v>0</v>
      </c>
      <c r="Z37" s="84">
        <f t="shared" si="35"/>
        <v>0.57735026918962473</v>
      </c>
      <c r="AA37" s="84">
        <f t="shared" si="36"/>
        <v>0</v>
      </c>
      <c r="AB37" s="84">
        <f t="shared" si="36"/>
        <v>0</v>
      </c>
      <c r="AC37" s="85">
        <f t="shared" si="36"/>
        <v>1</v>
      </c>
    </row>
    <row r="44" spans="1:29" ht="63" x14ac:dyDescent="0.2">
      <c r="A44" s="177" t="s">
        <v>74</v>
      </c>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row>
    <row r="45" spans="1:29" ht="17" thickBot="1" x14ac:dyDescent="0.25"/>
    <row r="46" spans="1:29" ht="23" thickBot="1" x14ac:dyDescent="0.25">
      <c r="B46" s="166" t="s">
        <v>18</v>
      </c>
      <c r="C46" s="167"/>
      <c r="D46" s="167"/>
      <c r="E46" s="167"/>
      <c r="F46" s="167"/>
      <c r="G46" s="168"/>
      <c r="H46" s="166" t="s">
        <v>19</v>
      </c>
      <c r="I46" s="167"/>
      <c r="J46" s="167"/>
      <c r="K46" s="167"/>
      <c r="L46" s="167"/>
      <c r="M46" s="168"/>
      <c r="N46" s="169" t="s">
        <v>20</v>
      </c>
      <c r="O46" s="170"/>
      <c r="P46" s="170"/>
      <c r="Q46" s="170"/>
      <c r="R46" s="170"/>
      <c r="S46" s="171"/>
      <c r="T46" s="169" t="s">
        <v>21</v>
      </c>
      <c r="U46" s="170"/>
      <c r="V46" s="170"/>
      <c r="W46" s="170"/>
      <c r="X46" s="171"/>
      <c r="Y46" s="169" t="s">
        <v>22</v>
      </c>
      <c r="Z46" s="170"/>
      <c r="AA46" s="170"/>
      <c r="AB46" s="170"/>
      <c r="AC46" s="171"/>
    </row>
    <row r="47" spans="1:29" ht="23" thickBot="1" x14ac:dyDescent="0.35">
      <c r="A47" s="95" t="s">
        <v>7</v>
      </c>
      <c r="B47" s="96" t="s">
        <v>9</v>
      </c>
      <c r="C47" s="97" t="s">
        <v>25</v>
      </c>
      <c r="D47" s="97" t="s">
        <v>12</v>
      </c>
      <c r="E47" s="97" t="s">
        <v>14</v>
      </c>
      <c r="F47" s="98" t="s">
        <v>17</v>
      </c>
      <c r="G47" s="99" t="s">
        <v>26</v>
      </c>
      <c r="H47" s="96" t="s">
        <v>9</v>
      </c>
      <c r="I47" s="97" t="s">
        <v>25</v>
      </c>
      <c r="J47" s="97" t="s">
        <v>12</v>
      </c>
      <c r="K47" s="97" t="s">
        <v>14</v>
      </c>
      <c r="L47" s="98" t="s">
        <v>17</v>
      </c>
      <c r="M47" s="108" t="s">
        <v>26</v>
      </c>
      <c r="N47" s="101" t="s">
        <v>9</v>
      </c>
      <c r="O47" s="102" t="s">
        <v>25</v>
      </c>
      <c r="P47" s="102" t="s">
        <v>12</v>
      </c>
      <c r="Q47" s="102" t="s">
        <v>14</v>
      </c>
      <c r="R47" s="103" t="s">
        <v>17</v>
      </c>
      <c r="S47" s="104" t="s">
        <v>26</v>
      </c>
      <c r="T47" s="101" t="s">
        <v>9</v>
      </c>
      <c r="U47" s="105" t="s">
        <v>25</v>
      </c>
      <c r="V47" s="102" t="s">
        <v>12</v>
      </c>
      <c r="W47" s="102" t="s">
        <v>14</v>
      </c>
      <c r="X47" s="103" t="s">
        <v>17</v>
      </c>
      <c r="Y47" s="101" t="s">
        <v>9</v>
      </c>
      <c r="Z47" s="102" t="s">
        <v>25</v>
      </c>
      <c r="AA47" s="102" t="s">
        <v>12</v>
      </c>
      <c r="AB47" s="102" t="s">
        <v>14</v>
      </c>
      <c r="AC47" s="103" t="s">
        <v>17</v>
      </c>
    </row>
    <row r="48" spans="1:29" ht="68" x14ac:dyDescent="0.2">
      <c r="A48" s="106" t="s">
        <v>83</v>
      </c>
      <c r="B48" s="61">
        <v>0</v>
      </c>
      <c r="C48" s="62">
        <v>2</v>
      </c>
      <c r="D48" s="62">
        <v>0</v>
      </c>
      <c r="E48" s="62">
        <v>1</v>
      </c>
      <c r="F48" s="90">
        <v>0</v>
      </c>
      <c r="G48" s="91"/>
      <c r="H48" s="61">
        <v>1</v>
      </c>
      <c r="I48" s="62">
        <v>2</v>
      </c>
      <c r="J48" s="62">
        <v>0</v>
      </c>
      <c r="K48" s="62">
        <v>1</v>
      </c>
      <c r="L48" s="90">
        <v>1</v>
      </c>
      <c r="M48" s="91" t="s">
        <v>51</v>
      </c>
      <c r="N48" s="61">
        <v>0</v>
      </c>
      <c r="O48" s="62">
        <v>4</v>
      </c>
      <c r="P48" s="62">
        <v>0</v>
      </c>
      <c r="Q48" s="62">
        <v>1</v>
      </c>
      <c r="R48" s="90">
        <v>0</v>
      </c>
      <c r="S48" s="107"/>
      <c r="T48" s="93">
        <f>AVERAGE(B48,H48,N48)</f>
        <v>0.33333333333333331</v>
      </c>
      <c r="U48" s="93">
        <f t="shared" ref="U48:U51" si="37">AVERAGE(C48,I48,O48)</f>
        <v>2.6666666666666665</v>
      </c>
      <c r="V48" s="93">
        <f t="shared" ref="V48:V51" si="38">AVERAGE(D48,J48,P48)</f>
        <v>0</v>
      </c>
      <c r="W48" s="93">
        <f t="shared" ref="W48:W51" si="39">AVERAGE(E48,K48,Q48)</f>
        <v>1</v>
      </c>
      <c r="X48" s="94">
        <f t="shared" ref="X48:X51" si="40">AVERAGE(F48,L48,R48)</f>
        <v>0.33333333333333331</v>
      </c>
      <c r="Y48" s="82">
        <f>STDEV(B48,H48,N48)</f>
        <v>0.57735026918962584</v>
      </c>
      <c r="Z48" s="82">
        <f t="shared" ref="Z48:Z51" si="41">STDEV(C48,I48,O48)</f>
        <v>1.1547005383792517</v>
      </c>
      <c r="AA48" s="82">
        <f>STDEV(D48,J48,P48)</f>
        <v>0</v>
      </c>
      <c r="AB48" s="82">
        <f t="shared" ref="AB48:AB51" si="42">STDEV(E48,K48,Q48)</f>
        <v>0</v>
      </c>
      <c r="AC48" s="83">
        <f t="shared" ref="AC48:AC51" si="43">STDEV(F48,L48,R48)</f>
        <v>0.57735026918962584</v>
      </c>
    </row>
    <row r="49" spans="1:29" ht="51" x14ac:dyDescent="0.2">
      <c r="A49" s="24" t="s">
        <v>90</v>
      </c>
      <c r="B49" s="45">
        <v>1</v>
      </c>
      <c r="C49" s="46">
        <v>2</v>
      </c>
      <c r="D49" s="67">
        <v>0</v>
      </c>
      <c r="E49" s="46">
        <v>0</v>
      </c>
      <c r="F49" s="49">
        <v>0</v>
      </c>
      <c r="G49" s="15" t="s">
        <v>91</v>
      </c>
      <c r="H49" s="45">
        <v>0</v>
      </c>
      <c r="I49" s="46">
        <v>2</v>
      </c>
      <c r="J49" s="46">
        <v>0</v>
      </c>
      <c r="K49" s="46">
        <v>1</v>
      </c>
      <c r="L49" s="49">
        <v>0</v>
      </c>
      <c r="M49" s="15"/>
      <c r="N49" s="45">
        <v>0</v>
      </c>
      <c r="O49" s="46">
        <v>3</v>
      </c>
      <c r="P49" s="46">
        <v>0</v>
      </c>
      <c r="Q49" s="46">
        <v>1</v>
      </c>
      <c r="R49" s="49">
        <v>0</v>
      </c>
      <c r="S49" s="27"/>
      <c r="T49" s="93">
        <f t="shared" ref="T49:T50" si="44">AVERAGE(B49,H49,N49)</f>
        <v>0.33333333333333331</v>
      </c>
      <c r="U49" s="93">
        <f t="shared" ref="U49:U50" si="45">AVERAGE(C49,I49,O49)</f>
        <v>2.3333333333333335</v>
      </c>
      <c r="V49" s="93">
        <f t="shared" ref="V49:V50" si="46">AVERAGE(D49,J49,P49)</f>
        <v>0</v>
      </c>
      <c r="W49" s="93">
        <f t="shared" ref="W49:W50" si="47">AVERAGE(E49,K49,Q49)</f>
        <v>0.66666666666666663</v>
      </c>
      <c r="X49" s="94">
        <f t="shared" ref="X49:X50" si="48">AVERAGE(F49,L49,R49)</f>
        <v>0</v>
      </c>
      <c r="Y49" s="82">
        <f t="shared" ref="Y49:Y50" si="49">STDEV(B49,H49,N49)</f>
        <v>0.57735026918962584</v>
      </c>
      <c r="Z49" s="82">
        <f t="shared" ref="Z49:Z50" si="50">STDEV(C49,I49,O49)</f>
        <v>0.57735026918962629</v>
      </c>
      <c r="AA49" s="82">
        <f t="shared" ref="AA49:AA50" si="51">STDEV(D49,J49,P49)</f>
        <v>0</v>
      </c>
      <c r="AB49" s="82">
        <f t="shared" ref="AB49:AB50" si="52">STDEV(E49,K49,Q49)</f>
        <v>0.57735026918962584</v>
      </c>
      <c r="AC49" s="83">
        <f t="shared" ref="AC49:AC50" si="53">STDEV(F49,L49,R49)</f>
        <v>0</v>
      </c>
    </row>
    <row r="50" spans="1:29" ht="85" x14ac:dyDescent="0.2">
      <c r="A50" s="72" t="s">
        <v>82</v>
      </c>
      <c r="B50" s="45">
        <v>4</v>
      </c>
      <c r="C50" s="46">
        <v>4</v>
      </c>
      <c r="D50" s="46">
        <v>0</v>
      </c>
      <c r="E50" s="46">
        <v>1</v>
      </c>
      <c r="F50" s="49">
        <v>0</v>
      </c>
      <c r="G50" s="15" t="s">
        <v>93</v>
      </c>
      <c r="H50" s="45">
        <v>4</v>
      </c>
      <c r="I50" s="46">
        <v>4</v>
      </c>
      <c r="J50" s="46">
        <v>0</v>
      </c>
      <c r="K50" s="46">
        <v>1</v>
      </c>
      <c r="L50" s="49">
        <v>0</v>
      </c>
      <c r="M50" s="15" t="s">
        <v>93</v>
      </c>
      <c r="N50" s="77">
        <v>3</v>
      </c>
      <c r="O50" s="78">
        <v>5</v>
      </c>
      <c r="P50" s="78">
        <v>0</v>
      </c>
      <c r="Q50" s="78">
        <v>1</v>
      </c>
      <c r="R50" s="79">
        <v>0</v>
      </c>
      <c r="S50" s="80" t="s">
        <v>92</v>
      </c>
      <c r="T50" s="93">
        <f t="shared" si="44"/>
        <v>3.6666666666666665</v>
      </c>
      <c r="U50" s="93">
        <f t="shared" si="45"/>
        <v>4.333333333333333</v>
      </c>
      <c r="V50" s="93">
        <f t="shared" si="46"/>
        <v>0</v>
      </c>
      <c r="W50" s="93">
        <f t="shared" si="47"/>
        <v>1</v>
      </c>
      <c r="X50" s="94">
        <f t="shared" si="48"/>
        <v>0</v>
      </c>
      <c r="Y50" s="82">
        <f t="shared" si="49"/>
        <v>0.57735026918962473</v>
      </c>
      <c r="Z50" s="82">
        <f t="shared" si="50"/>
        <v>0.57735026918962473</v>
      </c>
      <c r="AA50" s="82">
        <f t="shared" si="51"/>
        <v>0</v>
      </c>
      <c r="AB50" s="82">
        <f t="shared" si="52"/>
        <v>0</v>
      </c>
      <c r="AC50" s="83">
        <f t="shared" si="53"/>
        <v>0</v>
      </c>
    </row>
    <row r="51" spans="1:29" ht="205" thickBot="1" x14ac:dyDescent="0.25">
      <c r="A51" s="24" t="s">
        <v>38</v>
      </c>
      <c r="B51" s="53">
        <v>0</v>
      </c>
      <c r="C51" s="54">
        <f>7</f>
        <v>7</v>
      </c>
      <c r="D51" s="54">
        <v>0</v>
      </c>
      <c r="E51" s="54">
        <v>1</v>
      </c>
      <c r="F51" s="55">
        <v>3</v>
      </c>
      <c r="G51" s="19" t="s">
        <v>42</v>
      </c>
      <c r="H51" s="53">
        <v>2</v>
      </c>
      <c r="I51" s="54">
        <v>2</v>
      </c>
      <c r="J51" s="54">
        <v>0</v>
      </c>
      <c r="K51" s="54">
        <v>0</v>
      </c>
      <c r="L51" s="55">
        <v>2</v>
      </c>
      <c r="M51" s="19" t="s">
        <v>54</v>
      </c>
      <c r="N51" s="53">
        <v>3</v>
      </c>
      <c r="O51" s="54">
        <v>3</v>
      </c>
      <c r="P51" s="54">
        <v>0</v>
      </c>
      <c r="Q51" s="54">
        <v>0</v>
      </c>
      <c r="R51" s="55">
        <v>1</v>
      </c>
      <c r="S51" s="19" t="s">
        <v>64</v>
      </c>
      <c r="T51" s="87">
        <f>AVERAGE(B51,H51,N51)</f>
        <v>1.6666666666666667</v>
      </c>
      <c r="U51" s="87">
        <f t="shared" si="37"/>
        <v>4</v>
      </c>
      <c r="V51" s="87">
        <f t="shared" si="38"/>
        <v>0</v>
      </c>
      <c r="W51" s="87">
        <f t="shared" si="39"/>
        <v>0.33333333333333331</v>
      </c>
      <c r="X51" s="88">
        <f t="shared" si="40"/>
        <v>2</v>
      </c>
      <c r="Y51" s="84">
        <f>STDEV(B51,H51,N51)</f>
        <v>1.5275252316519465</v>
      </c>
      <c r="Z51" s="84">
        <f t="shared" si="41"/>
        <v>2.6457513110645907</v>
      </c>
      <c r="AA51" s="84">
        <f>STDEV(D51,J51,P51)</f>
        <v>0</v>
      </c>
      <c r="AB51" s="84">
        <f t="shared" si="42"/>
        <v>0.57735026918962584</v>
      </c>
      <c r="AC51" s="85">
        <f t="shared" si="43"/>
        <v>1</v>
      </c>
    </row>
    <row r="52" spans="1:29" x14ac:dyDescent="0.2">
      <c r="Y52" s="26"/>
    </row>
    <row r="54" spans="1:29" ht="17" thickBot="1" x14ac:dyDescent="0.25"/>
    <row r="55" spans="1:29" ht="23" thickBot="1" x14ac:dyDescent="0.25">
      <c r="B55" s="166" t="s">
        <v>18</v>
      </c>
      <c r="C55" s="167"/>
      <c r="D55" s="167"/>
      <c r="E55" s="167"/>
      <c r="F55" s="167"/>
      <c r="G55" s="167"/>
      <c r="H55" s="178" t="s">
        <v>19</v>
      </c>
      <c r="I55" s="179"/>
      <c r="J55" s="179"/>
      <c r="K55" s="179"/>
      <c r="L55" s="179"/>
      <c r="M55" s="168"/>
      <c r="N55" s="169" t="s">
        <v>20</v>
      </c>
      <c r="O55" s="170"/>
      <c r="P55" s="170"/>
      <c r="Q55" s="170"/>
      <c r="R55" s="170"/>
      <c r="S55" s="171"/>
      <c r="T55" s="169" t="s">
        <v>21</v>
      </c>
      <c r="U55" s="170"/>
      <c r="V55" s="170"/>
      <c r="W55" s="170"/>
      <c r="X55" s="171"/>
      <c r="Y55" s="169" t="s">
        <v>22</v>
      </c>
      <c r="Z55" s="170"/>
      <c r="AA55" s="170"/>
      <c r="AB55" s="170"/>
      <c r="AC55" s="171"/>
    </row>
    <row r="56" spans="1:29" ht="23" thickBot="1" x14ac:dyDescent="0.35">
      <c r="A56" s="95" t="s">
        <v>7</v>
      </c>
      <c r="B56" s="96" t="s">
        <v>9</v>
      </c>
      <c r="C56" s="97" t="s">
        <v>25</v>
      </c>
      <c r="D56" s="97" t="s">
        <v>12</v>
      </c>
      <c r="E56" s="97" t="s">
        <v>14</v>
      </c>
      <c r="F56" s="98" t="s">
        <v>17</v>
      </c>
      <c r="G56" s="99" t="s">
        <v>26</v>
      </c>
      <c r="H56" s="96" t="s">
        <v>9</v>
      </c>
      <c r="I56" s="97" t="s">
        <v>25</v>
      </c>
      <c r="J56" s="97" t="s">
        <v>12</v>
      </c>
      <c r="K56" s="97" t="s">
        <v>14</v>
      </c>
      <c r="L56" s="98" t="s">
        <v>17</v>
      </c>
      <c r="M56" s="100" t="s">
        <v>26</v>
      </c>
      <c r="N56" s="101" t="s">
        <v>9</v>
      </c>
      <c r="O56" s="102" t="s">
        <v>25</v>
      </c>
      <c r="P56" s="102" t="s">
        <v>12</v>
      </c>
      <c r="Q56" s="102" t="s">
        <v>14</v>
      </c>
      <c r="R56" s="103" t="s">
        <v>17</v>
      </c>
      <c r="S56" s="104" t="s">
        <v>26</v>
      </c>
      <c r="T56" s="101" t="s">
        <v>9</v>
      </c>
      <c r="U56" s="105" t="s">
        <v>25</v>
      </c>
      <c r="V56" s="102" t="s">
        <v>12</v>
      </c>
      <c r="W56" s="102" t="s">
        <v>14</v>
      </c>
      <c r="X56" s="103" t="s">
        <v>17</v>
      </c>
      <c r="Y56" s="101" t="s">
        <v>9</v>
      </c>
      <c r="Z56" s="102" t="s">
        <v>25</v>
      </c>
      <c r="AA56" s="102" t="s">
        <v>12</v>
      </c>
      <c r="AB56" s="102" t="s">
        <v>14</v>
      </c>
      <c r="AC56" s="103" t="s">
        <v>17</v>
      </c>
    </row>
    <row r="57" spans="1:29" ht="187" x14ac:dyDescent="0.2">
      <c r="A57" s="38" t="s">
        <v>39</v>
      </c>
      <c r="B57" s="89">
        <v>1</v>
      </c>
      <c r="C57" s="62">
        <v>5</v>
      </c>
      <c r="D57" s="62">
        <v>0</v>
      </c>
      <c r="E57" s="62">
        <v>0</v>
      </c>
      <c r="F57" s="90">
        <v>4</v>
      </c>
      <c r="G57" s="91" t="s">
        <v>53</v>
      </c>
      <c r="H57" s="61">
        <v>0</v>
      </c>
      <c r="I57" s="62">
        <v>6</v>
      </c>
      <c r="J57" s="62">
        <v>0</v>
      </c>
      <c r="K57" s="62">
        <v>1</v>
      </c>
      <c r="L57" s="90">
        <v>3</v>
      </c>
      <c r="M57" s="92" t="s">
        <v>55</v>
      </c>
      <c r="N57" s="61">
        <v>0</v>
      </c>
      <c r="O57" s="62">
        <v>6</v>
      </c>
      <c r="P57" s="62">
        <v>0</v>
      </c>
      <c r="Q57" s="62">
        <v>1</v>
      </c>
      <c r="R57" s="90">
        <v>3</v>
      </c>
      <c r="S57" s="91" t="s">
        <v>65</v>
      </c>
      <c r="T57" s="93">
        <f>AVERAGE(B57,H57,N57)</f>
        <v>0.33333333333333331</v>
      </c>
      <c r="U57" s="93">
        <f>AVERAGE(C57,I57,O57)</f>
        <v>5.666666666666667</v>
      </c>
      <c r="V57" s="93">
        <f>AVERAGE(D57,J57,P57)</f>
        <v>0</v>
      </c>
      <c r="W57" s="93">
        <f>AVERAGE(E57,K57,Q57)</f>
        <v>0.66666666666666663</v>
      </c>
      <c r="X57" s="94">
        <f>AVERAGE(F57,L57,R57)</f>
        <v>3.3333333333333335</v>
      </c>
      <c r="Y57" s="82">
        <f>STDEV(B57,H57,N57)</f>
        <v>0.57735026918962584</v>
      </c>
      <c r="Z57" s="82">
        <f>STDEV(C57,I57,O57)</f>
        <v>0.57735026918962584</v>
      </c>
      <c r="AA57" s="82">
        <f>STDEV(D57,J57,P57)</f>
        <v>0</v>
      </c>
      <c r="AB57" s="82">
        <f>STDEV(E57,K57,Q57)</f>
        <v>0.57735026918962584</v>
      </c>
      <c r="AC57" s="83">
        <f>STDEV(F57,L57,R57)</f>
        <v>0.57735026918962473</v>
      </c>
    </row>
    <row r="58" spans="1:29" ht="136" x14ac:dyDescent="0.2">
      <c r="A58" s="23" t="s">
        <v>85</v>
      </c>
      <c r="B58" s="56">
        <v>0</v>
      </c>
      <c r="C58" s="46">
        <v>5</v>
      </c>
      <c r="D58" s="46">
        <v>0</v>
      </c>
      <c r="E58" s="46">
        <v>1</v>
      </c>
      <c r="F58" s="49">
        <v>1</v>
      </c>
      <c r="G58" s="15" t="s">
        <v>94</v>
      </c>
      <c r="H58" s="45">
        <v>0</v>
      </c>
      <c r="I58" s="46">
        <v>6</v>
      </c>
      <c r="J58" s="46">
        <v>0</v>
      </c>
      <c r="K58" s="46">
        <v>1</v>
      </c>
      <c r="L58" s="49">
        <v>4</v>
      </c>
      <c r="M58" s="31" t="s">
        <v>95</v>
      </c>
      <c r="N58" s="45">
        <v>0</v>
      </c>
      <c r="O58" s="46">
        <v>6</v>
      </c>
      <c r="P58" s="46">
        <v>0</v>
      </c>
      <c r="Q58" s="46">
        <v>1</v>
      </c>
      <c r="R58" s="49">
        <v>3</v>
      </c>
      <c r="S58" s="31" t="s">
        <v>96</v>
      </c>
      <c r="T58" s="81">
        <f t="shared" ref="T58:T60" si="54">AVERAGE(B58,H58,N58)</f>
        <v>0</v>
      </c>
      <c r="U58" s="81">
        <f t="shared" ref="U58:U60" si="55">AVERAGE(C58,I58,O58)</f>
        <v>5.666666666666667</v>
      </c>
      <c r="V58" s="81">
        <f t="shared" ref="V58:V60" si="56">AVERAGE(D58,J58,P58)</f>
        <v>0</v>
      </c>
      <c r="W58" s="81">
        <f t="shared" ref="W58:W60" si="57">AVERAGE(E58,K58,Q58)</f>
        <v>1</v>
      </c>
      <c r="X58" s="86">
        <f t="shared" ref="X58:X60" si="58">AVERAGE(F58,L58,R58)</f>
        <v>2.6666666666666665</v>
      </c>
      <c r="Y58" s="82">
        <f t="shared" ref="Y58:Y59" si="59">STDEV(B58,H58,N58)</f>
        <v>0</v>
      </c>
      <c r="Z58" s="82">
        <f t="shared" ref="Z58:Z59" si="60">STDEV(C58,I58,O58)</f>
        <v>0.57735026918962584</v>
      </c>
      <c r="AA58" s="82">
        <f t="shared" ref="AA58:AA59" si="61">STDEV(D58,J58,P58)</f>
        <v>0</v>
      </c>
      <c r="AB58" s="82">
        <f t="shared" ref="AB58:AB59" si="62">STDEV(E58,K58,Q58)</f>
        <v>0</v>
      </c>
      <c r="AC58" s="83">
        <f t="shared" ref="AC58:AC59" si="63">STDEV(F58,L58,R58)</f>
        <v>1.5275252316519468</v>
      </c>
    </row>
    <row r="59" spans="1:29" ht="153" x14ac:dyDescent="0.2">
      <c r="A59" s="23" t="s">
        <v>84</v>
      </c>
      <c r="B59" s="56">
        <v>0</v>
      </c>
      <c r="C59" s="46">
        <v>5</v>
      </c>
      <c r="D59" s="46">
        <v>0</v>
      </c>
      <c r="E59" s="46">
        <v>1</v>
      </c>
      <c r="F59" s="49">
        <v>2</v>
      </c>
      <c r="G59" s="15" t="s">
        <v>45</v>
      </c>
      <c r="H59" s="45">
        <v>2</v>
      </c>
      <c r="I59" s="46">
        <v>6</v>
      </c>
      <c r="J59" s="46">
        <v>0</v>
      </c>
      <c r="K59" s="46">
        <v>0</v>
      </c>
      <c r="L59" s="49">
        <v>2</v>
      </c>
      <c r="M59" s="31" t="s">
        <v>97</v>
      </c>
      <c r="N59" s="45">
        <v>1</v>
      </c>
      <c r="O59" s="46">
        <v>5</v>
      </c>
      <c r="P59" s="46">
        <v>0</v>
      </c>
      <c r="Q59" s="46">
        <v>0</v>
      </c>
      <c r="R59" s="49">
        <v>1</v>
      </c>
      <c r="S59" s="15" t="s">
        <v>98</v>
      </c>
      <c r="T59" s="81">
        <f>AVERAGE(B59,H59,N59)</f>
        <v>1</v>
      </c>
      <c r="U59" s="81">
        <f t="shared" si="55"/>
        <v>5.333333333333333</v>
      </c>
      <c r="V59" s="81">
        <f t="shared" si="56"/>
        <v>0</v>
      </c>
      <c r="W59" s="81">
        <f t="shared" si="57"/>
        <v>0.33333333333333331</v>
      </c>
      <c r="X59" s="86">
        <f t="shared" si="58"/>
        <v>1.6666666666666667</v>
      </c>
      <c r="Y59" s="82">
        <f t="shared" si="59"/>
        <v>1</v>
      </c>
      <c r="Z59" s="82">
        <f t="shared" si="60"/>
        <v>0.57735026918962584</v>
      </c>
      <c r="AA59" s="82">
        <f t="shared" si="61"/>
        <v>0</v>
      </c>
      <c r="AB59" s="82">
        <f t="shared" si="62"/>
        <v>0.57735026918962584</v>
      </c>
      <c r="AC59" s="83">
        <f t="shared" si="63"/>
        <v>0.57735026918962551</v>
      </c>
    </row>
    <row r="60" spans="1:29" ht="86" thickBot="1" x14ac:dyDescent="0.25">
      <c r="A60" s="23" t="s">
        <v>37</v>
      </c>
      <c r="B60" s="53">
        <v>0</v>
      </c>
      <c r="C60" s="54">
        <v>4</v>
      </c>
      <c r="D60" s="54">
        <v>0</v>
      </c>
      <c r="E60" s="54">
        <v>1</v>
      </c>
      <c r="F60" s="55">
        <v>2</v>
      </c>
      <c r="G60" s="19" t="s">
        <v>45</v>
      </c>
      <c r="H60" s="53">
        <v>0</v>
      </c>
      <c r="I60" s="54">
        <v>6</v>
      </c>
      <c r="J60" s="54">
        <v>0</v>
      </c>
      <c r="K60" s="54">
        <v>1</v>
      </c>
      <c r="L60" s="55">
        <v>5</v>
      </c>
      <c r="M60" s="44" t="s">
        <v>57</v>
      </c>
      <c r="N60" s="53">
        <v>0</v>
      </c>
      <c r="O60" s="54">
        <v>5</v>
      </c>
      <c r="P60" s="54">
        <v>0</v>
      </c>
      <c r="Q60" s="54">
        <v>1</v>
      </c>
      <c r="R60" s="55">
        <v>4</v>
      </c>
      <c r="S60" s="19" t="s">
        <v>67</v>
      </c>
      <c r="T60" s="87">
        <f t="shared" si="54"/>
        <v>0</v>
      </c>
      <c r="U60" s="87">
        <f t="shared" si="55"/>
        <v>5</v>
      </c>
      <c r="V60" s="87">
        <f t="shared" si="56"/>
        <v>0</v>
      </c>
      <c r="W60" s="87">
        <f t="shared" si="57"/>
        <v>1</v>
      </c>
      <c r="X60" s="88">
        <f t="shared" si="58"/>
        <v>3.6666666666666665</v>
      </c>
      <c r="Y60" s="84">
        <f>STDEV(B60,H60,N60)</f>
        <v>0</v>
      </c>
      <c r="Z60" s="84">
        <f t="shared" ref="Z60" si="64">STDEV(C60,I60,O60)</f>
        <v>1</v>
      </c>
      <c r="AA60" s="84">
        <f t="shared" ref="AA60" si="65">STDEV(D60,J60,P60)</f>
        <v>0</v>
      </c>
      <c r="AB60" s="84">
        <f t="shared" ref="AB60" si="66">STDEV(E60,K60,Q60)</f>
        <v>0</v>
      </c>
      <c r="AC60" s="85">
        <f t="shared" ref="AC60" si="67">STDEV(F60,L60,R60)</f>
        <v>1.5275252316519463</v>
      </c>
    </row>
    <row r="64" spans="1:29" ht="17" thickBot="1" x14ac:dyDescent="0.25"/>
    <row r="65" spans="1:29" ht="23" thickBot="1" x14ac:dyDescent="0.25">
      <c r="B65" s="166" t="s">
        <v>18</v>
      </c>
      <c r="C65" s="167"/>
      <c r="D65" s="167"/>
      <c r="E65" s="167"/>
      <c r="F65" s="167"/>
      <c r="G65" s="168"/>
      <c r="H65" s="166" t="s">
        <v>19</v>
      </c>
      <c r="I65" s="167"/>
      <c r="J65" s="167"/>
      <c r="K65" s="167"/>
      <c r="L65" s="167"/>
      <c r="M65" s="168"/>
      <c r="N65" s="169" t="s">
        <v>20</v>
      </c>
      <c r="O65" s="170"/>
      <c r="P65" s="170"/>
      <c r="Q65" s="170"/>
      <c r="R65" s="170"/>
      <c r="S65" s="171"/>
      <c r="T65" s="169" t="s">
        <v>21</v>
      </c>
      <c r="U65" s="170"/>
      <c r="V65" s="170"/>
      <c r="W65" s="170"/>
      <c r="X65" s="171"/>
      <c r="Y65" s="169" t="s">
        <v>22</v>
      </c>
      <c r="Z65" s="170"/>
      <c r="AA65" s="170"/>
      <c r="AB65" s="170"/>
      <c r="AC65" s="171"/>
    </row>
    <row r="66" spans="1:29" ht="22" x14ac:dyDescent="0.3">
      <c r="A66" s="9" t="s">
        <v>7</v>
      </c>
      <c r="B66" s="74" t="s">
        <v>9</v>
      </c>
      <c r="C66" s="6" t="s">
        <v>25</v>
      </c>
      <c r="D66" s="6" t="s">
        <v>12</v>
      </c>
      <c r="E66" s="6" t="s">
        <v>14</v>
      </c>
      <c r="F66" s="7" t="s">
        <v>17</v>
      </c>
      <c r="G66" s="118" t="s">
        <v>26</v>
      </c>
      <c r="H66" s="117" t="s">
        <v>9</v>
      </c>
      <c r="I66" s="12" t="s">
        <v>25</v>
      </c>
      <c r="J66" s="12" t="s">
        <v>12</v>
      </c>
      <c r="K66" s="12" t="s">
        <v>14</v>
      </c>
      <c r="L66" s="35" t="s">
        <v>17</v>
      </c>
      <c r="M66" s="37" t="s">
        <v>26</v>
      </c>
      <c r="N66" s="36" t="s">
        <v>9</v>
      </c>
      <c r="O66" s="2" t="s">
        <v>25</v>
      </c>
      <c r="P66" s="2" t="s">
        <v>12</v>
      </c>
      <c r="Q66" s="2" t="s">
        <v>14</v>
      </c>
      <c r="R66" s="4" t="s">
        <v>17</v>
      </c>
      <c r="S66" s="18" t="s">
        <v>26</v>
      </c>
      <c r="T66" s="10" t="s">
        <v>9</v>
      </c>
      <c r="U66" s="25" t="s">
        <v>25</v>
      </c>
      <c r="V66" s="11" t="s">
        <v>12</v>
      </c>
      <c r="W66" s="11" t="s">
        <v>14</v>
      </c>
      <c r="X66" s="13" t="s">
        <v>17</v>
      </c>
      <c r="Y66" s="10" t="s">
        <v>9</v>
      </c>
      <c r="Z66" s="11" t="s">
        <v>25</v>
      </c>
      <c r="AA66" s="11" t="s">
        <v>12</v>
      </c>
      <c r="AB66" s="11" t="s">
        <v>14</v>
      </c>
      <c r="AC66" s="13" t="s">
        <v>17</v>
      </c>
    </row>
    <row r="67" spans="1:29" ht="51" x14ac:dyDescent="0.2">
      <c r="A67" s="20" t="s">
        <v>88</v>
      </c>
      <c r="B67" s="75">
        <v>0</v>
      </c>
      <c r="C67" s="47">
        <v>3</v>
      </c>
      <c r="D67" s="47">
        <v>0</v>
      </c>
      <c r="E67" s="47">
        <v>1</v>
      </c>
      <c r="F67" s="48">
        <v>1</v>
      </c>
      <c r="G67" s="23" t="s">
        <v>99</v>
      </c>
      <c r="H67" s="75">
        <v>0</v>
      </c>
      <c r="I67" s="47">
        <v>3</v>
      </c>
      <c r="J67" s="47">
        <v>0</v>
      </c>
      <c r="K67" s="47">
        <v>1</v>
      </c>
      <c r="L67" s="48">
        <v>1</v>
      </c>
      <c r="M67" s="23" t="s">
        <v>99</v>
      </c>
      <c r="N67" s="65">
        <v>0</v>
      </c>
      <c r="O67" s="46">
        <v>5</v>
      </c>
      <c r="P67" s="46">
        <v>0</v>
      </c>
      <c r="Q67" s="46">
        <v>1</v>
      </c>
      <c r="R67" s="49">
        <v>3</v>
      </c>
      <c r="S67" s="15" t="s">
        <v>32</v>
      </c>
      <c r="T67" s="111">
        <f>AVERAGE(B67,H67,N67)</f>
        <v>0</v>
      </c>
      <c r="U67" s="111">
        <f t="shared" ref="U67" si="68">AVERAGE(C67,I67,O67)</f>
        <v>3.6666666666666665</v>
      </c>
      <c r="V67" s="111">
        <f t="shared" ref="V67" si="69">AVERAGE(D67,J67,P67)</f>
        <v>0</v>
      </c>
      <c r="W67" s="111">
        <f t="shared" ref="W67" si="70">AVERAGE(E67,K67,Q67)</f>
        <v>1</v>
      </c>
      <c r="X67" s="112">
        <f t="shared" ref="X67" si="71">AVERAGE(F67,L67,R67)</f>
        <v>1.6666666666666667</v>
      </c>
      <c r="Y67" s="109">
        <f>STDEV(B67,H67,N67)</f>
        <v>0</v>
      </c>
      <c r="Z67" s="109">
        <f t="shared" ref="Z67" si="72">STDEV(C67,I67,O67)</f>
        <v>1.154700538379251</v>
      </c>
      <c r="AA67" s="109">
        <f t="shared" ref="AA67" si="73">STDEV(D67,J67,P67)</f>
        <v>0</v>
      </c>
      <c r="AB67" s="109">
        <f t="shared" ref="AB67" si="74">STDEV(E67,K67,Q67)</f>
        <v>0</v>
      </c>
      <c r="AC67" s="110">
        <f t="shared" ref="AC67" si="75">STDEV(F67,L67,R67)</f>
        <v>1.1547005383792515</v>
      </c>
    </row>
    <row r="68" spans="1:29" ht="51" x14ac:dyDescent="0.2">
      <c r="A68" s="20" t="s">
        <v>87</v>
      </c>
      <c r="B68" s="73">
        <v>1</v>
      </c>
      <c r="C68" s="68">
        <v>3</v>
      </c>
      <c r="D68" s="68">
        <v>0</v>
      </c>
      <c r="E68" s="68">
        <v>1</v>
      </c>
      <c r="F68" s="69">
        <v>0</v>
      </c>
      <c r="G68" s="43" t="s">
        <v>100</v>
      </c>
      <c r="H68" s="71">
        <v>1</v>
      </c>
      <c r="I68" s="51">
        <v>3</v>
      </c>
      <c r="J68" s="51">
        <v>0</v>
      </c>
      <c r="K68" s="51">
        <v>1</v>
      </c>
      <c r="L68" s="70">
        <v>0</v>
      </c>
      <c r="M68" s="43" t="s">
        <v>100</v>
      </c>
      <c r="N68" s="73">
        <v>1</v>
      </c>
      <c r="O68" s="68">
        <v>3</v>
      </c>
      <c r="P68" s="68">
        <v>0</v>
      </c>
      <c r="Q68" s="68">
        <v>1</v>
      </c>
      <c r="R68" s="69">
        <v>0</v>
      </c>
      <c r="S68" s="43" t="s">
        <v>100</v>
      </c>
      <c r="T68" s="111">
        <f t="shared" ref="T68:T70" si="76">AVERAGE(B68,H68,N68)</f>
        <v>1</v>
      </c>
      <c r="U68" s="111">
        <f t="shared" ref="U68:U70" si="77">AVERAGE(C68,I68,O68)</f>
        <v>3</v>
      </c>
      <c r="V68" s="111">
        <f t="shared" ref="V68:V70" si="78">AVERAGE(D68,J68,P68)</f>
        <v>0</v>
      </c>
      <c r="W68" s="111">
        <f t="shared" ref="W68:W70" si="79">AVERAGE(E68,K68,Q68)</f>
        <v>1</v>
      </c>
      <c r="X68" s="112">
        <f t="shared" ref="X68:X70" si="80">AVERAGE(F68,L68,R68)</f>
        <v>0</v>
      </c>
      <c r="Y68" s="109">
        <f t="shared" ref="Y68:Y70" si="81">STDEV(B68,H68,N68)</f>
        <v>0</v>
      </c>
      <c r="Z68" s="109">
        <f t="shared" ref="Z68:Z70" si="82">STDEV(C68,I68,O68)</f>
        <v>0</v>
      </c>
      <c r="AA68" s="109">
        <f t="shared" ref="AA68:AA70" si="83">STDEV(D68,J68,P68)</f>
        <v>0</v>
      </c>
      <c r="AB68" s="109">
        <f t="shared" ref="AB68:AB70" si="84">STDEV(E68,K68,Q68)</f>
        <v>0</v>
      </c>
      <c r="AC68" s="110">
        <f t="shared" ref="AC68:AC70" si="85">STDEV(F68,L68,R68)</f>
        <v>0</v>
      </c>
    </row>
    <row r="69" spans="1:29" ht="119" x14ac:dyDescent="0.2">
      <c r="A69" s="20" t="s">
        <v>86</v>
      </c>
      <c r="B69" s="73">
        <v>2</v>
      </c>
      <c r="C69" s="68">
        <v>5</v>
      </c>
      <c r="D69" s="68">
        <v>0</v>
      </c>
      <c r="E69" s="68">
        <v>0</v>
      </c>
      <c r="F69" s="69">
        <v>3</v>
      </c>
      <c r="G69" s="43" t="s">
        <v>101</v>
      </c>
      <c r="H69" s="71">
        <v>3</v>
      </c>
      <c r="I69" s="51">
        <v>13</v>
      </c>
      <c r="J69" s="51">
        <v>0</v>
      </c>
      <c r="K69" s="51">
        <v>0</v>
      </c>
      <c r="L69" s="70">
        <v>7</v>
      </c>
      <c r="M69" s="43" t="s">
        <v>102</v>
      </c>
      <c r="N69" s="71">
        <v>1</v>
      </c>
      <c r="O69" s="51">
        <v>6</v>
      </c>
      <c r="P69" s="51">
        <v>0</v>
      </c>
      <c r="Q69" s="51">
        <v>0</v>
      </c>
      <c r="R69" s="52">
        <v>4</v>
      </c>
      <c r="S69" s="42" t="s">
        <v>103</v>
      </c>
      <c r="T69" s="111">
        <f t="shared" si="76"/>
        <v>2</v>
      </c>
      <c r="U69" s="111">
        <f t="shared" si="77"/>
        <v>8</v>
      </c>
      <c r="V69" s="111">
        <f t="shared" si="78"/>
        <v>0</v>
      </c>
      <c r="W69" s="111">
        <f t="shared" si="79"/>
        <v>0</v>
      </c>
      <c r="X69" s="112">
        <f t="shared" si="80"/>
        <v>4.666666666666667</v>
      </c>
      <c r="Y69" s="109">
        <f t="shared" si="81"/>
        <v>1</v>
      </c>
      <c r="Z69" s="109">
        <f t="shared" si="82"/>
        <v>4.358898943540674</v>
      </c>
      <c r="AA69" s="109">
        <f t="shared" si="83"/>
        <v>0</v>
      </c>
      <c r="AB69" s="109">
        <f t="shared" si="84"/>
        <v>0</v>
      </c>
      <c r="AC69" s="110">
        <f t="shared" si="85"/>
        <v>2.0816659994661335</v>
      </c>
    </row>
    <row r="70" spans="1:29" ht="86" thickBot="1" x14ac:dyDescent="0.25">
      <c r="A70" s="21" t="s">
        <v>89</v>
      </c>
      <c r="B70" s="76">
        <v>0</v>
      </c>
      <c r="C70" s="58">
        <v>2</v>
      </c>
      <c r="D70" s="58">
        <v>0</v>
      </c>
      <c r="E70" s="58">
        <v>1</v>
      </c>
      <c r="F70" s="59">
        <v>2</v>
      </c>
      <c r="G70" s="39" t="s">
        <v>50</v>
      </c>
      <c r="H70" s="66">
        <v>0</v>
      </c>
      <c r="I70" s="54">
        <v>4</v>
      </c>
      <c r="J70" s="54">
        <v>0</v>
      </c>
      <c r="K70" s="54">
        <v>1</v>
      </c>
      <c r="L70" s="64">
        <v>2</v>
      </c>
      <c r="M70" s="39" t="s">
        <v>61</v>
      </c>
      <c r="N70" s="66">
        <v>0</v>
      </c>
      <c r="O70" s="54">
        <v>4</v>
      </c>
      <c r="P70" s="54">
        <v>0</v>
      </c>
      <c r="Q70" s="54">
        <v>1</v>
      </c>
      <c r="R70" s="55">
        <v>2</v>
      </c>
      <c r="S70" s="28"/>
      <c r="T70" s="113">
        <f t="shared" si="76"/>
        <v>0</v>
      </c>
      <c r="U70" s="113">
        <f t="shared" si="77"/>
        <v>3.3333333333333335</v>
      </c>
      <c r="V70" s="113">
        <f t="shared" si="78"/>
        <v>0</v>
      </c>
      <c r="W70" s="113">
        <f t="shared" si="79"/>
        <v>1</v>
      </c>
      <c r="X70" s="114">
        <f t="shared" si="80"/>
        <v>2</v>
      </c>
      <c r="Y70" s="115">
        <f t="shared" si="81"/>
        <v>0</v>
      </c>
      <c r="Z70" s="115">
        <f t="shared" si="82"/>
        <v>1.154700538379251</v>
      </c>
      <c r="AA70" s="115">
        <f t="shared" si="83"/>
        <v>0</v>
      </c>
      <c r="AB70" s="115">
        <f t="shared" si="84"/>
        <v>0</v>
      </c>
      <c r="AC70" s="116">
        <f t="shared" si="85"/>
        <v>0</v>
      </c>
    </row>
    <row r="74" spans="1:29" ht="17" thickBot="1" x14ac:dyDescent="0.25"/>
    <row r="75" spans="1:29" ht="16" customHeight="1" x14ac:dyDescent="0.2">
      <c r="A75" s="180" t="s">
        <v>79</v>
      </c>
      <c r="B75" s="181"/>
      <c r="C75" s="181"/>
      <c r="D75" s="181"/>
      <c r="E75" s="181"/>
      <c r="F75" s="182"/>
    </row>
    <row r="76" spans="1:29" ht="16" customHeight="1" thickBot="1" x14ac:dyDescent="0.25">
      <c r="A76" s="183"/>
      <c r="B76" s="184"/>
      <c r="C76" s="184"/>
      <c r="D76" s="184"/>
      <c r="E76" s="184"/>
      <c r="F76" s="185"/>
    </row>
    <row r="77" spans="1:29" ht="16" customHeight="1" x14ac:dyDescent="0.2">
      <c r="A77" s="186" t="s">
        <v>109</v>
      </c>
      <c r="B77" s="187"/>
      <c r="C77" s="187"/>
      <c r="D77" s="187"/>
      <c r="E77" s="187"/>
      <c r="F77" s="187"/>
      <c r="G77" s="187"/>
      <c r="H77" s="187"/>
      <c r="I77" s="187"/>
      <c r="J77" s="187"/>
      <c r="K77" s="187"/>
      <c r="L77" s="187"/>
      <c r="M77" s="188"/>
    </row>
    <row r="78" spans="1:29" ht="16" customHeight="1" x14ac:dyDescent="0.2">
      <c r="A78" s="189"/>
      <c r="B78" s="190"/>
      <c r="C78" s="190"/>
      <c r="D78" s="190"/>
      <c r="E78" s="190"/>
      <c r="F78" s="190"/>
      <c r="G78" s="190"/>
      <c r="H78" s="190"/>
      <c r="I78" s="190"/>
      <c r="J78" s="190"/>
      <c r="K78" s="190"/>
      <c r="L78" s="190"/>
      <c r="M78" s="191"/>
    </row>
    <row r="79" spans="1:29" ht="16" customHeight="1" x14ac:dyDescent="0.2">
      <c r="A79" s="189"/>
      <c r="B79" s="190"/>
      <c r="C79" s="190"/>
      <c r="D79" s="190"/>
      <c r="E79" s="190"/>
      <c r="F79" s="190"/>
      <c r="G79" s="190"/>
      <c r="H79" s="190"/>
      <c r="I79" s="190"/>
      <c r="J79" s="190"/>
      <c r="K79" s="190"/>
      <c r="L79" s="190"/>
      <c r="M79" s="191"/>
    </row>
    <row r="80" spans="1:29" ht="16" customHeight="1" x14ac:dyDescent="0.2">
      <c r="A80" s="189"/>
      <c r="B80" s="190"/>
      <c r="C80" s="190"/>
      <c r="D80" s="190"/>
      <c r="E80" s="190"/>
      <c r="F80" s="190"/>
      <c r="G80" s="190"/>
      <c r="H80" s="190"/>
      <c r="I80" s="190"/>
      <c r="J80" s="190"/>
      <c r="K80" s="190"/>
      <c r="L80" s="190"/>
      <c r="M80" s="191"/>
    </row>
    <row r="81" spans="1:13" ht="16" customHeight="1" x14ac:dyDescent="0.2">
      <c r="A81" s="189"/>
      <c r="B81" s="190"/>
      <c r="C81" s="190"/>
      <c r="D81" s="190"/>
      <c r="E81" s="190"/>
      <c r="F81" s="190"/>
      <c r="G81" s="190"/>
      <c r="H81" s="190"/>
      <c r="I81" s="190"/>
      <c r="J81" s="190"/>
      <c r="K81" s="190"/>
      <c r="L81" s="190"/>
      <c r="M81" s="191"/>
    </row>
    <row r="82" spans="1:13" ht="16" customHeight="1" x14ac:dyDescent="0.2">
      <c r="A82" s="189"/>
      <c r="B82" s="190"/>
      <c r="C82" s="190"/>
      <c r="D82" s="190"/>
      <c r="E82" s="190"/>
      <c r="F82" s="190"/>
      <c r="G82" s="190"/>
      <c r="H82" s="190"/>
      <c r="I82" s="190"/>
      <c r="J82" s="190"/>
      <c r="K82" s="190"/>
      <c r="L82" s="190"/>
      <c r="M82" s="191"/>
    </row>
    <row r="83" spans="1:13" ht="16" customHeight="1" x14ac:dyDescent="0.2">
      <c r="A83" s="189"/>
      <c r="B83" s="190"/>
      <c r="C83" s="190"/>
      <c r="D83" s="190"/>
      <c r="E83" s="190"/>
      <c r="F83" s="190"/>
      <c r="G83" s="190"/>
      <c r="H83" s="190"/>
      <c r="I83" s="190"/>
      <c r="J83" s="190"/>
      <c r="K83" s="190"/>
      <c r="L83" s="190"/>
      <c r="M83" s="191"/>
    </row>
    <row r="84" spans="1:13" ht="16" customHeight="1" x14ac:dyDescent="0.2">
      <c r="A84" s="189"/>
      <c r="B84" s="190"/>
      <c r="C84" s="190"/>
      <c r="D84" s="190"/>
      <c r="E84" s="190"/>
      <c r="F84" s="190"/>
      <c r="G84" s="190"/>
      <c r="H84" s="190"/>
      <c r="I84" s="190"/>
      <c r="J84" s="190"/>
      <c r="K84" s="190"/>
      <c r="L84" s="190"/>
      <c r="M84" s="191"/>
    </row>
    <row r="85" spans="1:13" ht="16" customHeight="1" x14ac:dyDescent="0.2">
      <c r="A85" s="189"/>
      <c r="B85" s="190"/>
      <c r="C85" s="190"/>
      <c r="D85" s="190"/>
      <c r="E85" s="190"/>
      <c r="F85" s="190"/>
      <c r="G85" s="190"/>
      <c r="H85" s="190"/>
      <c r="I85" s="190"/>
      <c r="J85" s="190"/>
      <c r="K85" s="190"/>
      <c r="L85" s="190"/>
      <c r="M85" s="191"/>
    </row>
    <row r="86" spans="1:13" ht="16" customHeight="1" x14ac:dyDescent="0.2">
      <c r="A86" s="189"/>
      <c r="B86" s="190"/>
      <c r="C86" s="190"/>
      <c r="D86" s="190"/>
      <c r="E86" s="190"/>
      <c r="F86" s="190"/>
      <c r="G86" s="190"/>
      <c r="H86" s="190"/>
      <c r="I86" s="190"/>
      <c r="J86" s="190"/>
      <c r="K86" s="190"/>
      <c r="L86" s="190"/>
      <c r="M86" s="191"/>
    </row>
    <row r="87" spans="1:13" ht="17" customHeight="1" x14ac:dyDescent="0.2">
      <c r="A87" s="189"/>
      <c r="B87" s="190"/>
      <c r="C87" s="190"/>
      <c r="D87" s="190"/>
      <c r="E87" s="190"/>
      <c r="F87" s="190"/>
      <c r="G87" s="190"/>
      <c r="H87" s="190"/>
      <c r="I87" s="190"/>
      <c r="J87" s="190"/>
      <c r="K87" s="190"/>
      <c r="L87" s="190"/>
      <c r="M87" s="191"/>
    </row>
    <row r="88" spans="1:13" ht="16" customHeight="1" x14ac:dyDescent="0.2">
      <c r="A88" s="189"/>
      <c r="B88" s="190"/>
      <c r="C88" s="190"/>
      <c r="D88" s="190"/>
      <c r="E88" s="190"/>
      <c r="F88" s="190"/>
      <c r="G88" s="190"/>
      <c r="H88" s="190"/>
      <c r="I88" s="190"/>
      <c r="J88" s="190"/>
      <c r="K88" s="190"/>
      <c r="L88" s="190"/>
      <c r="M88" s="191"/>
    </row>
    <row r="89" spans="1:13" ht="16" customHeight="1" x14ac:dyDescent="0.2">
      <c r="A89" s="189"/>
      <c r="B89" s="190"/>
      <c r="C89" s="190"/>
      <c r="D89" s="190"/>
      <c r="E89" s="190"/>
      <c r="F89" s="190"/>
      <c r="G89" s="190"/>
      <c r="H89" s="190"/>
      <c r="I89" s="190"/>
      <c r="J89" s="190"/>
      <c r="K89" s="190"/>
      <c r="L89" s="190"/>
      <c r="M89" s="191"/>
    </row>
    <row r="90" spans="1:13" ht="17" customHeight="1" x14ac:dyDescent="0.2">
      <c r="A90" s="189"/>
      <c r="B90" s="190"/>
      <c r="C90" s="190"/>
      <c r="D90" s="190"/>
      <c r="E90" s="190"/>
      <c r="F90" s="190"/>
      <c r="G90" s="190"/>
      <c r="H90" s="190"/>
      <c r="I90" s="190"/>
      <c r="J90" s="190"/>
      <c r="K90" s="190"/>
      <c r="L90" s="190"/>
      <c r="M90" s="191"/>
    </row>
    <row r="91" spans="1:13" x14ac:dyDescent="0.2">
      <c r="A91" s="189"/>
      <c r="B91" s="190"/>
      <c r="C91" s="190"/>
      <c r="D91" s="190"/>
      <c r="E91" s="190"/>
      <c r="F91" s="190"/>
      <c r="G91" s="190"/>
      <c r="H91" s="190"/>
      <c r="I91" s="190"/>
      <c r="J91" s="190"/>
      <c r="K91" s="190"/>
      <c r="L91" s="190"/>
      <c r="M91" s="191"/>
    </row>
    <row r="92" spans="1:13" ht="17" thickBot="1" x14ac:dyDescent="0.25">
      <c r="A92" s="192"/>
      <c r="B92" s="193"/>
      <c r="C92" s="193"/>
      <c r="D92" s="193"/>
      <c r="E92" s="193"/>
      <c r="F92" s="193"/>
      <c r="G92" s="193"/>
      <c r="H92" s="193"/>
      <c r="I92" s="193"/>
      <c r="J92" s="193"/>
      <c r="K92" s="193"/>
      <c r="L92" s="193"/>
      <c r="M92" s="194"/>
    </row>
  </sheetData>
  <mergeCells count="43">
    <mergeCell ref="A75:F76"/>
    <mergeCell ref="B65:G65"/>
    <mergeCell ref="H65:M65"/>
    <mergeCell ref="N65:S65"/>
    <mergeCell ref="A77:M92"/>
    <mergeCell ref="T65:X65"/>
    <mergeCell ref="Y65:AC65"/>
    <mergeCell ref="B55:G55"/>
    <mergeCell ref="H55:M55"/>
    <mergeCell ref="N55:S55"/>
    <mergeCell ref="T55:X55"/>
    <mergeCell ref="Y55:AC55"/>
    <mergeCell ref="A44:AC44"/>
    <mergeCell ref="B46:G46"/>
    <mergeCell ref="H46:M46"/>
    <mergeCell ref="N46:S46"/>
    <mergeCell ref="T46:X46"/>
    <mergeCell ref="Y46:AC46"/>
    <mergeCell ref="B1:D1"/>
    <mergeCell ref="B2:D2"/>
    <mergeCell ref="B3:D3"/>
    <mergeCell ref="B4:D4"/>
    <mergeCell ref="B5:D5"/>
    <mergeCell ref="B6:D6"/>
    <mergeCell ref="B7:D7"/>
    <mergeCell ref="B8:D8"/>
    <mergeCell ref="B9:D9"/>
    <mergeCell ref="B22:G22"/>
    <mergeCell ref="A11:AC11"/>
    <mergeCell ref="B13:G13"/>
    <mergeCell ref="H13:M13"/>
    <mergeCell ref="N13:S13"/>
    <mergeCell ref="T13:X13"/>
    <mergeCell ref="Y13:AC13"/>
    <mergeCell ref="H22:M22"/>
    <mergeCell ref="N22:S22"/>
    <mergeCell ref="T22:X22"/>
    <mergeCell ref="Y22:AC22"/>
    <mergeCell ref="B32:G32"/>
    <mergeCell ref="H32:M32"/>
    <mergeCell ref="N32:S32"/>
    <mergeCell ref="T32:X32"/>
    <mergeCell ref="Y32:AC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Autonomous_FP&amp;HI</vt:lpstr>
      <vt:lpstr>Autonomous_logical_sequence</vt:lpstr>
      <vt:lpstr>Autonomous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Usai  Andrea</dc:creator>
  <cp:lastModifiedBy>Usai  Andrea</cp:lastModifiedBy>
  <dcterms:created xsi:type="dcterms:W3CDTF">2025-06-24T15:40:26Z</dcterms:created>
  <dcterms:modified xsi:type="dcterms:W3CDTF">2025-07-13T11:58:08Z</dcterms:modified>
</cp:coreProperties>
</file>