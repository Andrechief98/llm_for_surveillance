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package.core-properties+xml" PartName="/docProps/core.xml"/>
  <Override ContentType="application/vnd.openxmlformats-officedocument.extended-properties+xml" PartName="/docProps/app.xml"/>
</Types>
</file>

<file path=_rels/.rels><?xml version="1.0" encoding="UTF-8" standalone="yes"?><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s>
</file>

<file path=xl/workbook.xml><?xml version="1.0" encoding="utf-8"?>
<workbook xmlns="http://schemas.openxmlformats.org/spreadsheetml/2006/main" xmlns:r="http://schemas.openxmlformats.org/officeDocument/2006/relationships">
  <fileVersion rupBuild="9303" lowestEdited="5" lastEdited="5" appName="xl"/>
  <workbookPr/>
  <bookViews>
    <workbookView xWindow="480" yWindow="60" windowWidth="18195" windowHeight="8505" activeTab="2"/>
  </bookViews>
  <sheets>
    <sheet r:id="rId1" sheetId="1" name="LS-LLM"/>
    <sheet r:id="rId2" sheetId="2" name="LS-HITL"/>
    <sheet r:id="rId3" sheetId="3" name="UNC-LLM"/>
    <sheet r:id="rId4" sheetId="4" name="UNC-HITL"/>
    <sheet r:id="rId5" sheetId="5" name="LLM"/>
    <sheet r:id="rId6" sheetId="6" name="HITL"/>
  </sheets>
  <calcPr fullCalcOnLoad="1"/>
</workbook>
</file>

<file path=xl/sharedStrings.xml><?xml version="1.0" encoding="utf-8"?>
<sst xmlns="http://schemas.openxmlformats.org/spreadsheetml/2006/main" count="1030" uniqueCount="288">
  <si>
    <t>Error Plan (EP)</t>
  </si>
  <si>
    <t>intesi come errori logici del plan (e.g. movimento del robot sbagliato,)</t>
  </si>
  <si>
    <t>Number of Action (NA)</t>
  </si>
  <si>
    <t>Numero di funzioni chiamate durante tutto l'esperimento</t>
  </si>
  <si>
    <t>Error action (EA)</t>
  </si>
  <si>
    <t>Errori sintattici di scrittura dei parametri delle funzioni</t>
  </si>
  <si>
    <t>Success (SUC)</t>
  </si>
  <si>
    <t>completamento del plan originale se corretto o modificato dall'umano se sbagliato (effettiva identificazione del pedone</t>
  </si>
  <si>
    <t>Allucination (ALL)</t>
  </si>
  <si>
    <t xml:space="preserve">Errori meno gravi che però non alterano necessariamente la validità del plan (e.g. apertura di porte già aperte, azioni inutili aggiuntive) </t>
  </si>
  <si>
    <t>FP</t>
  </si>
  <si>
    <t>False positive</t>
  </si>
  <si>
    <t>HI</t>
  </si>
  <si>
    <t>Hidden intruder</t>
  </si>
  <si>
    <t>MITL TEST - LOGICAL SEQUENCE</t>
  </si>
  <si>
    <t>TRIAL 1</t>
  </si>
  <si>
    <t>TRIAL 2</t>
  </si>
  <si>
    <t>TRIAL 3</t>
  </si>
  <si>
    <t>MEAN</t>
  </si>
  <si>
    <t>STD</t>
  </si>
  <si>
    <t>Task/Sensor</t>
  </si>
  <si>
    <t>EP</t>
  </si>
  <si>
    <t>NA</t>
  </si>
  <si>
    <t>EA</t>
  </si>
  <si>
    <t>SUC</t>
  </si>
  <si>
    <t>UA</t>
  </si>
  <si>
    <t>TOT ALL</t>
  </si>
  <si>
    <t>Annotazioni</t>
  </si>
  <si>
    <t>ALL</t>
  </si>
  <si>
    <t>Camera_1</t>
  </si>
  <si>
    <t>il plan proponeva di aprire la camera, se il risultato era inconcludente aprire la camera. Ha mandato comunque il robot nell'area della camera dove si trovava l'intruso.</t>
  </si>
  <si>
    <t>[HALLUCINATION] inefficient robot deployment:1 - corrected</t>
  </si>
  <si>
    <t>Lidar_3</t>
  </si>
  <si>
    <t>[HALLUCINATION] inefficient robot deployment:1</t>
  </si>
  <si>
    <t>Lidar 6</t>
  </si>
  <si>
    <t>[HALLUCINATION] inefficient robot deployment:1 
[HALLUCINATION CORRECTION] inefficient robot deployment:1</t>
  </si>
  <si>
    <t>[HALLUCINATION] inefficient robot deployment:1 - corrected
[ERROR PLAN] unproposed area: 1 - corrected</t>
  </si>
  <si>
    <t>Lidar_7</t>
  </si>
  <si>
    <t>Lidar_5, Camera_2</t>
  </si>
  <si>
    <t xml:space="preserve">[HALLUCINATION] inefficient robot deployment:1
[HALLUCINATION CORRECTION] inefficient robot deployment:1
[HALLUCINATION] wrong space information:1
</t>
  </si>
  <si>
    <r>
      <t xml:space="preserve">[ERROR PLAN] unproposed area:1 - corrected
[ERROR PLAN] wrong action proposed:3
</t>
    </r>
    <r>
      <rPr>
        <sz val="12"/>
        <color rgb="FFff0000"/>
        <rFont val="Aptos Narrow (Corpo)"/>
        <family val="2"/>
      </rPr>
      <t>non ha proposto di chiudere una delle porte legate alle aree presenti</t>
    </r>
  </si>
  <si>
    <t>[ERROR PLAN] unproposed area:1 - corrected</t>
  </si>
  <si>
    <t>Lidar_6, Lidar_2</t>
  </si>
  <si>
    <t xml:space="preserve">[HALLUCINATION] wrong space information:2
[HALLUCINATION] inefficient robot deployment:2
[HALLUCINATION CORRECTION] inefficient robot deployment:2
[HALLUCINATION] already open door:2
[ERROR PLAN] wrong area proposed:2
[ERROR PLAN CORRECTION] wrong area proposed:2 </t>
  </si>
  <si>
    <t>[ERROR PLAN] unproposed area:1 - corrected
[ERROR PLAN] wrong area proposed:1 - corrected</t>
  </si>
  <si>
    <t xml:space="preserve">[HALLUCINATION] inefficient robot deployment:1 - corrected
[ERROR PLAN] wrong action proposed: 1 - corrected
[HALLUCINATION] already open door: 2 </t>
  </si>
  <si>
    <t>Lidar_5, Lidar_4</t>
  </si>
  <si>
    <t>[HALLUCINATION] wrong action proposed:1
[HALLUCINATION CORRECTION] wrong action proposed:1</t>
  </si>
  <si>
    <t>[HALLUCINATION] inefficient robot deployment:2 - corrected
[HALLUCINATION] wrong or incomplete space information:1 -corrected</t>
  </si>
  <si>
    <t>[HALLUCINATION] inefficient robot deployment:1 - corrected
[ERROR PLAN] wrong action proposed: 1 - corrected</t>
  </si>
  <si>
    <t>Lidar_8, Lidar_6</t>
  </si>
  <si>
    <t>[HALLUCINATION] already open door:1
[ERROR PLAN] wrong action proposed:1
[ERROR PLAN CORRECTION] wrong action proposed:1
[HALLUCINATION] inefficient robot deployment:2
[HALLUCINATION CORRECTION] inefficient robot deployment:2
[HALLUCINATION ] wrong space information:1
[HALLUCINATION  CORRECTION] wrong space information:1</t>
  </si>
  <si>
    <t xml:space="preserve">[ERROR PLAN] wrong action proposed:2 - corrected
[ERROR PLAN] unproposed area:1 -corrected
[HALLUCINATION] inefficient robot deployment:1 - corrected
</t>
  </si>
  <si>
    <t>[HALLUCINATION] inefficient robot deployment:1 - corrected
[ERROR PLAN] wrong action proposed:1 - corrected
[ERROR PLAN] unmonitored area:1 - corrected</t>
  </si>
  <si>
    <t>Lidar_3, Camera_1, Lidar_7</t>
  </si>
  <si>
    <t>[HALLUCINATION] inefficient robot deployment:2
[HALLUCINATION CORRECTION] inefficient robot deployment:2</t>
  </si>
  <si>
    <t>[HALLUCINATION] inefficient robot deployment:2- corrected
[ERROR PLAN] unproposed area:2  -corrected</t>
  </si>
  <si>
    <t>Lidar_2, Lidar_5, Lidar_4</t>
  </si>
  <si>
    <t>[HALLUCINATION] wrong or incomplete space information:1 
[HALLUCINATION] wrong or incomplete space information:1</t>
  </si>
  <si>
    <t>[ERROR PLAN] wrong area proposed:2 - corrected</t>
  </si>
  <si>
    <t>Camera_2,Lidar_6, Lidar_8</t>
  </si>
  <si>
    <t xml:space="preserve">error plan: ha proposto di usare camera 2 per monitorare area H - corretto
azione inutile: chiamare la camera proposta nel prompt  anche senza che gli venga chiesto 
</t>
  </si>
  <si>
    <t>Lidar_6, Lidar_8, Lidar_1</t>
  </si>
  <si>
    <r>
      <t xml:space="preserve">[HALLUCINATION] wrong or incomplete space information:2 - corrected
[HALLUCINATION] inefficient robot deployment:2 - corrected
[ERROR PLAN] wrong action proposed:1 - corrected
</t>
    </r>
    <r>
      <rPr>
        <sz val="12"/>
        <color rgb="FFff0000"/>
        <rFont val="Aptos Narrow (Corpo)"/>
        <family val="2"/>
      </rPr>
      <t>ha ricevuto un "area sconosciuta" nel report e ha inventato quale area fosse (ha considerato un'area che non c'entrava nulla)</t>
    </r>
  </si>
  <si>
    <t xml:space="preserve">[HALLUCINATION] inefficient robot deployment:1 - corrected </t>
  </si>
  <si>
    <t>[HALLUCINATION] inefficient robot deployment:1 - corrected
[HALLUCINATION] wrong action proposed:1 - corrected</t>
  </si>
  <si>
    <t>MITL TEST - FALSE POSITIVE &amp; HIDDEN INTRUDER</t>
  </si>
  <si>
    <t>Camera_2 - FP</t>
  </si>
  <si>
    <t>[HALLUCINATION] wrong or incomplete space information:1
[ERROR PLAN] unproposed area:1</t>
  </si>
  <si>
    <t>[HALLUCINATION] already open door:1</t>
  </si>
  <si>
    <t xml:space="preserve">[HALLUCINATION] already open door:1 </t>
  </si>
  <si>
    <t>Lidar_1 - HI</t>
  </si>
  <si>
    <t>[ERROR PLAN] unproposed area:1 - corrected
[ERROR PLAN] wrong action proposed:1 - corrected</t>
  </si>
  <si>
    <t xml:space="preserve">[ERROR PLAN] wrong action proposed:1
</t>
  </si>
  <si>
    <t>Lidar_2 - FP</t>
  </si>
  <si>
    <t xml:space="preserve">[ERROR PLAN] wrong action proposed:2
[ERROR PLAN CORRECTION] wrong action proposed:2
[ERROR PLAN] wrong area proposed:1
[ERROR PLAN CORRECTION] wrong area proposed:1
</t>
  </si>
  <si>
    <t>[ERROR PLAN] wrong action proposed:2 - corrected</t>
  </si>
  <si>
    <r>
      <t xml:space="preserve">[HALLUCINATION] </t>
    </r>
    <r>
      <rPr>
        <sz val="12"/>
        <color rgb="FFff0000"/>
        <rFont val="Aptos Narrow (Corpo)"/>
        <family val="2"/>
      </rPr>
      <t xml:space="preserve">ha eseguito da solo il reset dei sensori </t>
    </r>
  </si>
  <si>
    <t>Lidar_5 - HI</t>
  </si>
  <si>
    <t>[HALLUCINATION] wrong or incomplete space information:1
[HALLUCINATION] inefficient robot deployment:1 - corrected
[ERROR PLAN] unproposed area:1</t>
  </si>
  <si>
    <t>[HALLUCINATION] inefficient robot depoloyment:1 - corrected</t>
  </si>
  <si>
    <t>[HALLUCINATION] inefficient robot deployment:2 - corrected</t>
  </si>
  <si>
    <r>
      <t xml:space="preserve">Camera_1, </t>
    </r>
    <r>
      <rPr>
        <sz val="12"/>
        <color rgb="FFff0000"/>
        <rFont val="Aptos Narrow (Corpo)"/>
        <family val="2"/>
      </rPr>
      <t>Lidar_3</t>
    </r>
    <r>
      <rPr>
        <sz val="12"/>
        <color rgb="FF000000"/>
        <rFont val="Aptos Narrow"/>
        <family val="2"/>
      </rPr>
      <t xml:space="preserve"> </t>
    </r>
    <r>
      <rPr>
        <sz val="12"/>
        <color rgb="FFff0000"/>
        <rFont val="Aptos Narrow (Corpo)"/>
        <family val="2"/>
      </rPr>
      <t>- HI</t>
    </r>
  </si>
  <si>
    <t>[HALLUCINATION] already open door:2
[ERROR PLAN] unproposed area:1
[ERROR PLAN CORRECTION] unproposed area:1</t>
  </si>
  <si>
    <r>
      <t>Lidar_2,</t>
    </r>
    <r>
      <rPr>
        <sz val="12"/>
        <color rgb="FFff0000"/>
        <rFont val="Aptos Narrow (Corpo)"/>
        <family val="2"/>
      </rPr>
      <t xml:space="preserve"> Lidar_1 - HI</t>
    </r>
  </si>
  <si>
    <t xml:space="preserve">
error plan: unproposed area:1 - corretto
ha proposto falso positivo come soluzione finale</t>
  </si>
  <si>
    <t>[ERROR PLAN] wrong area proposed: 1 - corrected</t>
  </si>
  <si>
    <r>
      <t xml:space="preserve">[HALLUCINATION] already open door:2
</t>
    </r>
    <r>
      <rPr>
        <sz val="12"/>
        <color rgb="FFff0000"/>
        <rFont val="Aptos Narrow (Corpo)"/>
        <family val="2"/>
      </rPr>
      <t>[ERROR PLAN] wrong action propose and executedd: 1</t>
    </r>
  </si>
  <si>
    <r>
      <t>Lidar_3,</t>
    </r>
    <r>
      <rPr>
        <sz val="12"/>
        <color rgb="FFff0000"/>
        <rFont val="Aptos Narrow (Corpo)"/>
        <family val="2"/>
      </rPr>
      <t xml:space="preserve"> Lidar_8 - FP</t>
    </r>
  </si>
  <si>
    <t>[HALLUCINATION] inefficient robot deployment:1 - corretto
[ERROR PLAN] wrong action proposed: 2 - corretto</t>
  </si>
  <si>
    <t xml:space="preserve">[HALLUCINATION] inefficient robot deployment:1 - corretto
[ERROR PLAN] wrong action proposed:1 - corretto </t>
  </si>
  <si>
    <t>[ERROR PLAN] wrong action proposed:1 - corrected
[HALLUCINATION] inefficient robot deployment:1 - corrected</t>
  </si>
  <si>
    <r>
      <t/>
    </r>
    <r>
      <rPr>
        <sz val="12"/>
        <color rgb="FFff0000"/>
        <rFont val="Aptos Narrow (Corpo)"/>
        <family val="2"/>
      </rPr>
      <t>Lidar_4 - FP</t>
    </r>
    <r>
      <rPr>
        <sz val="12"/>
        <color rgb="FF000000"/>
        <rFont val="Aptos Narrow"/>
        <family val="2"/>
      </rPr>
      <t>, Lidar_2</t>
    </r>
  </si>
  <si>
    <t xml:space="preserve">[HALLUCINATION] already open door:1
[ERROR PLAN] wrong action proposed:2
[ERROR PLAN] wrong area proposed:1
[ERROR PLAN CORRECTION] wrong action proposed:2
[ERROR PLAN CORRECTION] wrong area proposed:1
</t>
  </si>
  <si>
    <t>[ERROR PLAN]  wrong action proposed: 1 - corrected
[ERROR PLAN] wrong area monitored:1 - corrected</t>
  </si>
  <si>
    <t>[HALLUCINATION] wrong action proposed:1 - corrected
[ERROR PLAN] unproposed area:2 - corrected</t>
  </si>
  <si>
    <r>
      <t xml:space="preserve">Camera_1, </t>
    </r>
    <r>
      <rPr>
        <sz val="12"/>
        <color rgb="FF000000"/>
        <rFont val="Aptos Narrow (Corpo)"/>
        <family val="2"/>
      </rPr>
      <t>Lidar_6</t>
    </r>
    <r>
      <rPr>
        <sz val="12"/>
        <color rgb="FF000000"/>
        <rFont val="Aptos Narrow"/>
        <family val="2"/>
      </rPr>
      <t>,</t>
    </r>
    <r>
      <rPr>
        <sz val="12"/>
        <color rgb="FFff0000"/>
        <rFont val="Aptos Narrow (Corpo)"/>
        <family val="2"/>
      </rPr>
      <t xml:space="preserve"> Lidar_5 - FP</t>
    </r>
  </si>
  <si>
    <t xml:space="preserve">errore umano: indicato inavvertitamente di aprire la camera sbagliata
inefficient robot deployment:1 (ha proposto di mandare il robot nella stessa area monitorata dalla camera) - corretto
</t>
  </si>
  <si>
    <r>
      <t/>
    </r>
    <r>
      <rPr>
        <sz val="12"/>
        <color rgb="FF000000"/>
        <rFont val="Aptos Narrow (Corpo)"/>
        <family val="2"/>
      </rPr>
      <t>Lidar_1</t>
    </r>
    <r>
      <rPr>
        <sz val="12"/>
        <color rgb="FF000000"/>
        <rFont val="Aptos Narrow"/>
        <family val="2"/>
      </rPr>
      <t xml:space="preserve">, Lidar_2, </t>
    </r>
    <r>
      <rPr>
        <sz val="12"/>
        <color rgb="FFff0000"/>
        <rFont val="Aptos Narrow (Corpo)"/>
        <family val="2"/>
      </rPr>
      <t>Camera_2  -FP</t>
    </r>
  </si>
  <si>
    <t xml:space="preserve">non ha generato il report legato alla detection dell'intruso e ha proposto direttamente il plan sulla base delle informazioni di un'altra area.
Inefficient robot deployment:1 - corretto (ha proposto di mandare il robot in un'area dove si poteva usare la camera e non è stato proposto)
</t>
  </si>
  <si>
    <t>ha deployato i robot e ha chiuso le porte prima che potessero raggiungere le rispettive areee - corrected (considerate come errori perché hanno vincolato l'esecuzione del plan)
[ERROR PLAN] wrong action proposed:1 - corrected
[ERROR PLAN] unproposed area:1 -corrected</t>
  </si>
  <si>
    <r>
      <t xml:space="preserve">Lidar_5, Lidar_4, </t>
    </r>
    <r>
      <rPr>
        <sz val="12"/>
        <color rgb="FFff0000"/>
        <rFont val="Aptos Narrow (Corpo)"/>
        <family val="2"/>
      </rPr>
      <t>Lidar_6 -HI</t>
    </r>
  </si>
  <si>
    <t xml:space="preserve">[HALLUCINATION] already closed door:1
[HALLUCINATION] inefficient robot deployment:1 - corrected
[ERROR PLAN] unproposed area: 1 - corrected
</t>
  </si>
  <si>
    <t>[ERROR PLAN] wrong action proposed:1 - corrected</t>
  </si>
  <si>
    <r>
      <t xml:space="preserve">[HALLUCINATION] wrong ir incomplete space information:1 - corrected
</t>
    </r>
    <r>
      <rPr>
        <sz val="12"/>
        <color rgb="FFff0000"/>
        <rFont val="Aptos Narrow (Corpo)"/>
        <family val="2"/>
      </rPr>
      <t xml:space="preserve">[HALLUCINATION]  considerava un robot già deployato in un'area  quando in realtà non lo era - corretto
non propone di chiudere una delle porte necessarie per isolare
</t>
    </r>
    <r>
      <rPr>
        <sz val="12"/>
        <color rgb="FF000000"/>
        <rFont val="Aptos Narrow"/>
        <family val="2"/>
      </rPr>
      <t xml:space="preserve">
[HALLUCINATION] inefficient robot deployment:1 - corrected</t>
    </r>
  </si>
  <si>
    <r>
      <t xml:space="preserve">Lidar_7, Lidar_2, </t>
    </r>
    <r>
      <rPr>
        <sz val="12"/>
        <color rgb="FFff0000"/>
        <rFont val="Aptos Narrow (Corpo)"/>
        <family val="2"/>
      </rPr>
      <t>Lidar_1</t>
    </r>
    <r>
      <rPr>
        <sz val="12"/>
        <color rgb="FF000000"/>
        <rFont val="Aptos Narrow"/>
        <family val="2"/>
      </rPr>
      <t xml:space="preserve"> </t>
    </r>
    <r>
      <rPr>
        <sz val="12"/>
        <color rgb="FFff0000"/>
        <rFont val="Aptos Narrow (Corpo)"/>
        <family val="2"/>
      </rPr>
      <t>- HI</t>
    </r>
  </si>
  <si>
    <t>ha chiuso da solo le porte senza proporlo prima all'user</t>
  </si>
  <si>
    <t>CONSIDERAZIONI GENERALI</t>
  </si>
  <si>
    <r>
      <t xml:space="preserve">inefficient camera-robot coordination: quando verifica una medesima area sia con il robot che con con la camera
</t>
    </r>
    <r>
      <rPr>
        <sz val="18"/>
        <color rgb="FFff0000"/>
        <rFont val="Aptos Narrow (Corpo)"/>
        <family val="2"/>
      </rPr>
      <t>nel caso in cui si abbia un'inefficiente deployment dei robot in combinazione con la camera, si considera sempre inefficient robot deployment
sebbene non sia errore, tenende a non avere alcuna priorità nelle aree da analizzare, segue il prompt considerando le aree adiacenti ma senza priorità nelle aree da considerare</t>
    </r>
  </si>
  <si>
    <t>HALLUCINATION</t>
  </si>
  <si>
    <t>Already open door</t>
  </si>
  <si>
    <t>- quando vengono chiamate azioni per aprire porte già aperte (che hanno senso con la situazione che si sta considerando)</t>
  </si>
  <si>
    <t>inefficient robot deployment</t>
  </si>
  <si>
    <t>- si considera il robot più lontano per monitorare un'area
- si manda un robot in un'area già monitorata da camera</t>
  </si>
  <si>
    <t>wrong action proposed</t>
  </si>
  <si>
    <t>- si esegue un'azione casuale inutile</t>
  </si>
  <si>
    <t>wrong or incomplete space information</t>
  </si>
  <si>
    <t xml:space="preserve">- il sistema riporta informazioni spaziali sbagliate o incomplete (considerazione di una sola porta invece di due, aree vicine ma non effettivamente connesse), </t>
  </si>
  <si>
    <t>ERROR PLAN</t>
  </si>
  <si>
    <t>- proposta di eseguire un'azione sbagliata all'interno del plan (visualizzare una camera non legata all'area da monitorare, proporre di aprire la camera sbagliata)</t>
  </si>
  <si>
    <t>wrong area proposed</t>
  </si>
  <si>
    <t>- viene proposto di monitorare aree non adiacenti o logicamente errate rispetto alla sequenza di sensori attivati</t>
  </si>
  <si>
    <t>unproposed area</t>
  </si>
  <si>
    <t>- non viene proposto mai durante tutto l'esperimento di monitorare una determinata area</t>
  </si>
  <si>
    <t>ERROR ACTION</t>
  </si>
  <si>
    <t>unauthorized action execution</t>
  </si>
  <si>
    <t>- il modello esegue un'azione senza che gli venga detto di farlo</t>
  </si>
  <si>
    <t>unproposed action</t>
  </si>
  <si>
    <t>- il modello non propone di eseguire un'azione specifica come chiudere delle porte</t>
  </si>
  <si>
    <t>wrong parameters</t>
  </si>
  <si>
    <t>- il modello sbaglia i parametri necessari per poter eseguire correttamente l'azione</t>
  </si>
  <si>
    <t>AUTONOMOUS TEST - LOGICAL SEQUENCE</t>
  </si>
  <si>
    <t>2 allucinazioni: apertura porte già aperte</t>
  </si>
  <si>
    <t xml:space="preserve">1 allucinazione: apertura di porte già aperte
</t>
  </si>
  <si>
    <t>Fallito perché non ha creato un piano ulteriore dopo aver ricevuto il feedback del robot</t>
  </si>
  <si>
    <t>2 alliucinazioni: ha aperto porte che erano già aperte</t>
  </si>
  <si>
    <t>2 allucinazioni: apertura di porte già aperte</t>
  </si>
  <si>
    <t>4 allucinazioni: apertura di porte già aperte</t>
  </si>
  <si>
    <t>1 allucinazione: apertura porta già aperta</t>
  </si>
  <si>
    <t>1 allucinazione: apertura di porte già aperte
2 Error Plan: ha controllato due aree non direttamente adiacenti
Fallimento dovuto al fatto che ha smesso di verificare le aree senza controllare l'area G.</t>
  </si>
  <si>
    <t>1 allucinazione: invio di robot nelle aree più lontane
2 allucinazioni: aperture di porte già aperte</t>
  </si>
  <si>
    <t>1 Error Plan:  ha sbagliato l a posizione di un lidar, mandando il robot in un'area errata.
3 Error Plan: legati al precedente, ha continuato a sbagliare aree in cui inviare il robot
2 allucinazioni: aperture di porte già aperte</t>
  </si>
  <si>
    <t>2 allucinazioni: apertura di porte che erano già aperte</t>
  </si>
  <si>
    <t>1 allucinazione: invio di robot nelle aree più distanti
2 allucinazioni: aperture di porte già aperte</t>
  </si>
  <si>
    <t>2 allucinazioni: aperture di porte già aperte
1 allucinazione: ha proposto di mandare il robot più lontano per controllare un'area</t>
  </si>
  <si>
    <t>2 allucinazioni: apertura di porte che erano già aperte
1 allucinazione: invio robot nelle aree più distanti</t>
  </si>
  <si>
    <t xml:space="preserve">
1 allucinazione: aperture di porta già aperta</t>
  </si>
  <si>
    <t xml:space="preserve">2 allucinazioni: aperture di porte già aperte </t>
  </si>
  <si>
    <t>3 allucinazioni: aperture porte già aperte</t>
  </si>
  <si>
    <t>1 alucinazione: invio di robot nelle aree più lontane
3 allucinazioni: apertura di porte già aperte</t>
  </si>
  <si>
    <t xml:space="preserve">2 allucinazioni: apertura di porte già aperte
</t>
  </si>
  <si>
    <t>3 allucinazioni: apertura di porte già aperte</t>
  </si>
  <si>
    <t>1 allucinazione: apertura porte già aperte</t>
  </si>
  <si>
    <t>1 allcuinazione: apertura di porte già aperte</t>
  </si>
  <si>
    <t>2 allucinazioni: apertura di porte già aperte
1 allucinazione: connessione tra aree inesistente
1 allucinazione: invio di robot in maniera poco efficiente</t>
  </si>
  <si>
    <t xml:space="preserve">2 allucinazioni: aperture di porte già aperte
2 allucinazione: considerato area da controllare inutile (ma non ha deployato il robot)
1 invio dei robot in aree distanti (poca efficienza)
</t>
  </si>
  <si>
    <t>AUTONOMOUS TEST - FALSE POSITIVE &amp; HIDDEN INTRUDER</t>
  </si>
  <si>
    <t>1 allucinazione: invio del robot più lontano nell'area 
1 Error plan: ha mandato il robot in un'area non adiacente e inutile da controllare</t>
  </si>
  <si>
    <r>
      <t>Lidar_1 - HI</t>
    </r>
    <r>
      <rPr>
        <sz val="12"/>
        <color rgb="FF000000"/>
        <rFont val="Aptos Narrow (Corpo)"/>
        <family val="2"/>
      </rPr>
      <t xml:space="preserve">
(l'intruso si nasconde in G)</t>
    </r>
  </si>
  <si>
    <t>1 Error Plan: non ha considerato l'area G come area da monitorare</t>
  </si>
  <si>
    <t xml:space="preserve">Lidar_2 - FP
</t>
  </si>
  <si>
    <t>2 error plan: ha controllato aree non adiacenti (C, D)
2  error plan: non ha indicato l'area H ed E come area da monitorare</t>
  </si>
  <si>
    <t>2 error plan: ha controllato aree non adiacenti (C, D)
1 error plan: non ha indicato l'area H come area da monitorare</t>
  </si>
  <si>
    <r>
      <t xml:space="preserve">Lidar_5 - HI
</t>
    </r>
    <r>
      <rPr>
        <sz val="12"/>
        <color rgb="FF000000"/>
        <rFont val="Aptos Narrow (Corpo)"/>
        <family val="2"/>
      </rPr>
      <t>(l'intruso entra in area C)</t>
    </r>
  </si>
  <si>
    <t>3 allucinazioni: ha aperto porte che erano già aperte</t>
  </si>
  <si>
    <t>1 allucinazione: mandato il robot più lontano per verificare l'area
1 allucinazione: ha riportato come area principale la E al posto della D, quindi ha indicato tutte le aree adiacenti alla E e non alla D
1 Error Plan: deployment del robot in un'area non adiacente
1 Error Plan: non investigare nell'area effettivamente adiacente e interrompere la sorveglianza</t>
  </si>
  <si>
    <t>1 allucinazione: ha inviato il robot più lontano per monitorare l'area
1 Error Plan: non ha proposto di verificare l'area corretta
2 Error Plan: ha proposto di verificare due aree inutili</t>
  </si>
  <si>
    <r>
      <t xml:space="preserve">Camera_1, </t>
    </r>
    <r>
      <rPr>
        <sz val="12"/>
        <color rgb="FFff0000"/>
        <rFont val="Aptos Narrow (Corpo)"/>
        <family val="2"/>
      </rPr>
      <t>Lidar_3</t>
    </r>
    <r>
      <rPr>
        <sz val="12"/>
        <color rgb="FF000000"/>
        <rFont val="Aptos Narrow"/>
        <family val="2"/>
      </rPr>
      <t xml:space="preserve"> </t>
    </r>
    <r>
      <rPr>
        <sz val="12"/>
        <color rgb="FFff0000"/>
        <rFont val="Aptos Narrow (Corpo)"/>
        <family val="2"/>
      </rPr>
      <t>- HI</t>
    </r>
    <r>
      <rPr>
        <sz val="12"/>
        <color rgb="FF000000"/>
        <rFont val="Aptos Narrow"/>
        <family val="2"/>
      </rPr>
      <t xml:space="preserve">
(intruso entra in area D)</t>
    </r>
  </si>
  <si>
    <r>
      <t xml:space="preserve">2 allucinazione nel plan: ha indicato una porta sbagliata come collegamento tra due aree
2 allucinazioni nelle azioni: apre porte già aperte
Fallimento dovuto al fatto che ha controllato solo parte delle aree adiacenti a quelle considerate. Non ha controllato l'area D
</t>
    </r>
    <r>
      <rPr>
        <sz val="12"/>
        <color rgb="FFff0000"/>
        <rFont val="Aptos Narrow (Corpo)"/>
        <family val="2"/>
      </rPr>
      <t>Da capre se il non aver controllato altre aree sia da considerare un errore nel plan oppure no</t>
    </r>
  </si>
  <si>
    <t>2 allucinazioni: apertura porte già aperte
1 allucinazione: ha inviato i robot in maniera poco efficiente nelle aree da investigare (considerando i robot più lontani invece che quelli più vicini)</t>
  </si>
  <si>
    <t>3 allucinazioni: aperture di porte già aperte</t>
  </si>
  <si>
    <r>
      <t>Lidar_2,</t>
    </r>
    <r>
      <rPr>
        <sz val="12"/>
        <color rgb="FFff0000"/>
        <rFont val="Aptos Narrow (Corpo)"/>
        <family val="2"/>
      </rPr>
      <t xml:space="preserve"> Lidar_1 - HI
</t>
    </r>
    <r>
      <rPr>
        <sz val="12"/>
        <color rgb="FF000000"/>
        <rFont val="Aptos Narrow (Corpo)"/>
        <family val="2"/>
      </rPr>
      <t>(l'intruso si nasconde in area G)</t>
    </r>
  </si>
  <si>
    <t>1 Allucinazione: ha chiamata  retrieve system state inutilmente dopo aver inviato i robot</t>
  </si>
  <si>
    <t>2 allucinazioni: apertura porte già aperte
1 allucinazione: ha inviato i robot in maniera poco efficiente nelle aree da investigare (considerando i robot più lontani invece che quelli più vicini)
1 allucinazione: ha riportato un ros topic per il controllo del robbot in maniera inutile</t>
  </si>
  <si>
    <t xml:space="preserve">2 allucinazioni: apertura porte già aperte
1 allucinazione: ha inviato i robot in maniera poco efficiente nelle aree da investigare (considerando i robot più lontani invece che quelli più vicini)
</t>
  </si>
  <si>
    <r>
      <t>Lidar_3,</t>
    </r>
    <r>
      <rPr>
        <sz val="12"/>
        <color rgb="FFff0000"/>
        <rFont val="Aptos Narrow (Corpo)"/>
        <family val="2"/>
      </rPr>
      <t xml:space="preserve"> Lidar_8 - FP</t>
    </r>
    <r>
      <rPr>
        <sz val="12"/>
        <color rgb="FF000000"/>
        <rFont val="Aptos Narrow"/>
        <family val="2"/>
      </rPr>
      <t xml:space="preserve">
(l'intruso rimane in area C)</t>
    </r>
  </si>
  <si>
    <t xml:space="preserve">2 allucinazioni: apertura porte già aperte
1 Error Plan: ha considerato l'area F e ci ha mandato il robot
1 Error Plan: non ha considerato da analizzare l'area C, adiacente alla B
</t>
  </si>
  <si>
    <t>1 allucinazione: apertura di porte già aperte
1 Error Plan: non ha considerato da analizzare l'area C, adiacente alla B</t>
  </si>
  <si>
    <r>
      <t/>
    </r>
    <r>
      <rPr>
        <sz val="12"/>
        <color rgb="FFff0000"/>
        <rFont val="Aptos Narrow (Corpo)"/>
        <family val="2"/>
      </rPr>
      <t>Lidar_4 - FP</t>
    </r>
    <r>
      <rPr>
        <sz val="12"/>
        <color rgb="FF000000"/>
        <rFont val="Aptos Narrow"/>
        <family val="2"/>
      </rPr>
      <t>, Lidar_2
(l'intruso rimane in area A)</t>
    </r>
  </si>
  <si>
    <t>1 allucinazione: invio robot nelle aree più lontane
4 allucinazioni: aperture di porte già aperte</t>
  </si>
  <si>
    <t xml:space="preserve">3 allucinazioni: aperture di porte già aperte
1 allucinazione: invio dei robot in maniera poco efficiente (nelle aree più lontane)
</t>
  </si>
  <si>
    <r>
      <t xml:space="preserve">Camera_1, </t>
    </r>
    <r>
      <rPr>
        <sz val="12"/>
        <color rgb="FF000000"/>
        <rFont val="Aptos Narrow (Corpo)"/>
        <family val="2"/>
      </rPr>
      <t>Lidar_6</t>
    </r>
    <r>
      <rPr>
        <sz val="12"/>
        <color rgb="FF000000"/>
        <rFont val="Aptos Narrow"/>
        <family val="2"/>
      </rPr>
      <t>,</t>
    </r>
    <r>
      <rPr>
        <sz val="12"/>
        <color rgb="FFff0000"/>
        <rFont val="Aptos Narrow (Corpo)"/>
        <family val="2"/>
      </rPr>
      <t xml:space="preserve"> Lidar_5 - FP</t>
    </r>
    <r>
      <rPr>
        <sz val="12"/>
        <color rgb="FF000000"/>
        <rFont val="Aptos Narrow"/>
        <family val="2"/>
      </rPr>
      <t xml:space="preserve">
(l'intruso rimane in G)</t>
    </r>
  </si>
  <si>
    <t>1 Allucinazione: apertura di porte già aperte</t>
  </si>
  <si>
    <r>
      <t/>
    </r>
    <r>
      <rPr>
        <sz val="12"/>
        <color rgb="FF000000"/>
        <rFont val="Aptos Narrow (Corpo)"/>
        <family val="2"/>
      </rPr>
      <t>Lidar_1</t>
    </r>
    <r>
      <rPr>
        <sz val="12"/>
        <color rgb="FF000000"/>
        <rFont val="Aptos Narrow"/>
        <family val="2"/>
      </rPr>
      <t xml:space="preserve">, Lidar_2, </t>
    </r>
    <r>
      <rPr>
        <sz val="12"/>
        <color rgb="FFff0000"/>
        <rFont val="Aptos Narrow (Corpo)"/>
        <family val="2"/>
      </rPr>
      <t>Camera_2  -FP</t>
    </r>
    <r>
      <rPr>
        <sz val="12"/>
        <color rgb="FF000000"/>
        <rFont val="Aptos Narrow"/>
        <family val="2"/>
      </rPr>
      <t xml:space="preserve">
(l'intruso rimane in A)</t>
    </r>
  </si>
  <si>
    <t>1 error plan: attivazione di una camera</t>
  </si>
  <si>
    <r>
      <t xml:space="preserve">Lidar_5, Lidar_4, </t>
    </r>
    <r>
      <rPr>
        <sz val="12"/>
        <color rgb="FFff0000"/>
        <rFont val="Aptos Narrow (Corpo)"/>
        <family val="2"/>
      </rPr>
      <t xml:space="preserve">Lidar_6 -HI
</t>
    </r>
    <r>
      <rPr>
        <sz val="12"/>
        <color rgb="FF000000"/>
        <rFont val="Aptos Narrow (Corpo)"/>
        <family val="2"/>
      </rPr>
      <t>(l'intruso si nasconde in A)</t>
    </r>
  </si>
  <si>
    <t>1 allucinazione: invio dei robot nelle aree più lontane
2 allucinazioni: aperture di porte già aperte
2 Error Plan: non ha proposto di verificare ne area E ne area A</t>
  </si>
  <si>
    <t>1 allucinazione: invio dei robot nelle aree più lontane
6 allucinazioni: aperture di porte già aperte
1 Error Plan: non ha proposto di verificare l'area E
2 Error Plan: ha monitorato area G e H, inutili</t>
  </si>
  <si>
    <t>1 allucinazione: invio dei robot nelle aree più lontane
3 allucinazioni: aperture di porte già aperte
1 Error Plan: non ha verificato l'area A</t>
  </si>
  <si>
    <r>
      <t xml:space="preserve">Lidar_7, Lidar_2, </t>
    </r>
    <r>
      <rPr>
        <sz val="12"/>
        <color rgb="FFff0000"/>
        <rFont val="Aptos Narrow (Corpo)"/>
        <family val="2"/>
      </rPr>
      <t>Lidar_1</t>
    </r>
    <r>
      <rPr>
        <sz val="12"/>
        <color rgb="FF000000"/>
        <rFont val="Aptos Narrow"/>
        <family val="2"/>
      </rPr>
      <t xml:space="preserve"> </t>
    </r>
    <r>
      <rPr>
        <sz val="12"/>
        <color rgb="FFff0000"/>
        <rFont val="Aptos Narrow (Corpo)"/>
        <family val="2"/>
      </rPr>
      <t>- HI</t>
    </r>
    <r>
      <rPr>
        <sz val="12"/>
        <color rgb="FF000000"/>
        <rFont val="Aptos Narrow"/>
        <family val="2"/>
      </rPr>
      <t xml:space="preserve">
(l'intruso rimane in G)</t>
    </r>
  </si>
  <si>
    <t xml:space="preserve">2 allucinazioni: aperture di porte già aperte
</t>
  </si>
  <si>
    <t>Sembrerebe che per  essere sicuro che il sistema abbia le porte aperte, l'LLM vada comunque ad eseguire delle azioni di sicurezza in maniera ridondante per garantire comunque l'esecuzione della task (nonostante comunque nel prompt sia detto espressamente di evitare di eseguire azioni inutili). Ciò è legato principalemente al fatto che dicendo "do it" allora viene eseguito tutto il plan (quindi anche la apertura di porte già aperte)
Sembrerebbe che piuttosto che riorganizzare il plan, l'LLM vada ad aggiungere nuove azioni al plan se quello precedente non prevede degli errori completi rispetto alle nuove attivazioni. Questo fa si che le allucinazioni di mandare un robot più distante verso una zona si propaghino anche nei plan successivi e che non vengano modificati, anche se espressamente detto nel prompt di tenere in considerazione le possibili distanze dalle aree
Nel caso di Error Plan alti, ciò è dovuto principlamente all'errore iniziale di considerare un'area sbagliata. In seguito sembra che l'errore si sia propagato per tutto il plan.
Dato il limitato numero di prove, abbiamo eseguito i test in giorni differenti in modo da evitare che l'operatore potesse memorizzare.</t>
  </si>
  <si>
    <t>Inefficient robot deployment</t>
  </si>
  <si>
    <t>wrong action executed</t>
  </si>
  <si>
    <t>-esecuzione di un'azione sbagliata all'interno del plan (visualizzare una camera non legata all'area da monitorare, proporre di aprire la camera sbagliata)</t>
  </si>
  <si>
    <t>wrong area monitored</t>
  </si>
  <si>
    <t>- viene eseguito monitoring aree non adiacenti o logicamente errate rispetto alla sequenza di sensori attivati</t>
  </si>
  <si>
    <t>unmonitored area</t>
  </si>
  <si>
    <t>PE</t>
  </si>
  <si>
    <t>HF-PE</t>
  </si>
  <si>
    <t>AE</t>
  </si>
  <si>
    <t>TOT HAL</t>
  </si>
  <si>
    <t>HF-HAL</t>
  </si>
  <si>
    <t>ANNOTATIONS</t>
  </si>
  <si>
    <t>HF PE</t>
  </si>
  <si>
    <t>HF HAL</t>
  </si>
  <si>
    <t>ERR_avg_trial</t>
  </si>
  <si>
    <t>ERR_HF_avg_trial</t>
  </si>
  <si>
    <t>ERR_avg</t>
  </si>
  <si>
    <t>ERR_HF_avg</t>
  </si>
  <si>
    <t>HAL_avg_trial</t>
  </si>
  <si>
    <t>HAL_HF_avg_trial</t>
  </si>
  <si>
    <t>HAL_avg</t>
  </si>
  <si>
    <t>HAL_HF_avg</t>
  </si>
  <si>
    <t>[HALLUCINATION] wrong or incomplete space information:1</t>
  </si>
  <si>
    <t>[HALLUCINATION] useless action executed:1</t>
  </si>
  <si>
    <t>[HALLUCINATION] useless action executed:1 
[ACTION ERROR] wrong parameters:1</t>
  </si>
  <si>
    <t>[PLANNING ERROR] unproposed area:1
[PLANNING ERROR CORRECTION] unproposed area:1
[PLANNING ERROR] wrong action proposed:1
[PLANNING ERROR CORRECTION] wrong action proposed:1</t>
  </si>
  <si>
    <t xml:space="preserve">[PLANNING ERROR] wrong action proposed:1
</t>
  </si>
  <si>
    <t>[PLANNING ERROR] wrong action proposed:1
[PLANNING ERROR CORRECTION] wrong action proposed:1</t>
  </si>
  <si>
    <t>[ACTION ERROR] unauthorized action execution:1</t>
  </si>
  <si>
    <t>[HALLUCINATION] wrong or incomplete space information:1
[HALLUCINATION] inefficient robot deployment:1
[HALLUCINATION CORRECTION] inefficient robot deployment:1
[PLANNING ERROR] unproposed area:1</t>
  </si>
  <si>
    <t>[HALLUCINATION] inefficient robot deployment:1
[HALLUCINATION CORRECTION] inefficient robot deployment:1
[ACTION ERROR] wrong parameters:1</t>
  </si>
  <si>
    <t>[HALLUCINATION] useless action executed:2
[PLANNING ERROR] unproposed area:1
[PLANNING ERROR CORRECTION] unproposed area:1
[ACTION ERROR] wrong parameters:2</t>
  </si>
  <si>
    <t>[PLANNING ERROR] unproposed area:1
[PLANNING ERROR CORRECTION] unproposed area:1</t>
  </si>
  <si>
    <t xml:space="preserve">
[PLANNING ERROR] unproposed area:1
[PLANNING ERROR CORRECTION] unproposed area:1</t>
  </si>
  <si>
    <t>[PLANNING ERROR] wrong area proposed: 1
[PLANNING ERROR CORRECTION] wrong area proposed: 1</t>
  </si>
  <si>
    <t>[HALLUCINATION] useless action executed:2
[PLANNING ERROR] wrong action proposed: 1</t>
  </si>
  <si>
    <t xml:space="preserve">[HALLUCINATION] inefficient robot deployment:1
[PLANNING ERROR] wrong action proposed:1 
[HALLUCINATION CORRECTION] inefficient robot deployment:1
[PLANNING ERROR CORRECTION] wrong action proposed:1 </t>
  </si>
  <si>
    <t>[PLANNING ERROR] wrong action proposed:1
[HALLUCINATION] inefficient robot deployment:1
[PLANNING ERROR CORRECTION] wrong action proposed:1
[HALLUCINATION CORRECTION] inefficient robot deployment:1</t>
  </si>
  <si>
    <t xml:space="preserve">[HALLUCINATION] useless action executed:2
[HALLUCINATION] inefficient robot deployment:2
[HALLUCINATION CORRECTION] inefficient robot deployment:2
[PLANNING ERROR] wrong action proposed:2
[PLANNING ERROR CORRECTION] wrong action proposed:2
</t>
  </si>
  <si>
    <t>[HALLUCINATION] useless action executed:2</t>
  </si>
  <si>
    <t>[HALLUCINATION] inefficient robot deployment:1
[HALLUCINATION CORRECTION] inefficient robot deployment:1</t>
  </si>
  <si>
    <r>
      <t/>
    </r>
    <r>
      <rPr>
        <sz val="12"/>
        <color rgb="FF000000"/>
        <rFont val="Aptos Narrow (Corpo)"/>
        <family val="2"/>
      </rPr>
      <t>Lidar_1</t>
    </r>
    <r>
      <rPr>
        <sz val="12"/>
        <color rgb="FF000000"/>
        <rFont val="Aptos Narrow"/>
        <family val="2"/>
      </rPr>
      <t xml:space="preserve">, Lidar_2, </t>
    </r>
    <r>
      <rPr>
        <sz val="12"/>
        <color rgb="FFff0000"/>
        <rFont val="Aptos Narrow (Corpo)"/>
        <family val="2"/>
      </rPr>
      <t>Camera_2  - FP</t>
    </r>
  </si>
  <si>
    <t xml:space="preserve">[PLANNING ERROR] wrong area proposed:1
[PLANNING ERROR CORRECTION] wrong area proposed:1
[HALLUCINATION] inefficient robot deployment:1
[HALLUCINATION CORRECTION] inefficient robot deployment:1 
</t>
  </si>
  <si>
    <t>[ACTION ERROR] unauthorized action execution:2
[PLANNING ERROR] wrong action proposed:1
[PLANNING ERROR] unproposed area:1
[PLANNING ERROR CORRECTION] wrong action proposed:1
[PLANNING ERROR CORRECTION] unproposed area:1</t>
  </si>
  <si>
    <r>
      <t xml:space="preserve">Lidar_5, Lidar_4, </t>
    </r>
    <r>
      <rPr>
        <sz val="12"/>
        <color rgb="FFff0000"/>
        <rFont val="Aptos Narrow (Corpo)"/>
        <family val="2"/>
      </rPr>
      <t>Lidar_6 - HI</t>
    </r>
  </si>
  <si>
    <t>[HALLUCINATION] inefficient robot deployment:1
[HALLUCINATION CORRECTION] inefficient robot deployment:1
[PLANNING ERROR] unproposed area: 1
[PLANNING ERROR CORRECTION] unproposed area: 1</t>
  </si>
  <si>
    <t>[HALLUCINATION] wrong or incomplete space information:2
[HALLUCINATION CORRECTION] wrong or incomplete space information:2
[PLANNING ERROR] unproposed action: 1
[HALLUCINATION] inefficient robot deployment:1
[HALLUCINATION CORRECTION] inefficient robot deployment:1</t>
  </si>
  <si>
    <t>[ACTION ERROR] wrong parameters:1</t>
  </si>
  <si>
    <t>[ACTION ERROR] unauthorized action execution:1</t>
  </si>
  <si>
    <t>[HALLUCINATION] inefficient robot deployment:1
[PLANNING ERROR] wrong area monitored:1</t>
  </si>
  <si>
    <t>[PLANNING ERROR] unmonitored area:1
[FAIL] fail:it didn't monitor the area with the intruder</t>
  </si>
  <si>
    <t>[HALLUCINATION] wrong or incomplete space information:1
[PLANNING ERROR] unmonitored area:1</t>
  </si>
  <si>
    <t xml:space="preserve">[HALLUCINATION] inefficient robot deployment:2
</t>
  </si>
  <si>
    <t>[HALLUCINATION] inefficient robot deployment:2
[PLANNING ERROR] unmonitored area:1
[PLANNING ERROR] wrong area monitored:1</t>
  </si>
  <si>
    <t>[HALLUCINATION] useless action executed:3</t>
  </si>
  <si>
    <t>[HALLUCINATION] inefficient robot deployment:1
[HALLUCINATION] wrong or incomplete space information:1
[PLANNING ERROR] wrong area monitored:1
[PLANNING ERROR] unmonitored area:1
[FAIL] fail:it didn't monitor the area with the intruder</t>
  </si>
  <si>
    <t>[HALLUCINATION] inefficient robot deployment:1
[PLANNING ERROR] unmonitored area:1
[PLANNING ERROR] wrong area monitored:2
[FAIL] fail:it didn't monitor the area with the intruder</t>
  </si>
  <si>
    <t>[HALLUCINATION]  wrong or incomplete space information:2
[HALLUCINATION] useless action executed:2
[PLANNING ERROR] unmonitored area:1
[FAIL] fail:it didn't monitor the area with the intruder</t>
  </si>
  <si>
    <t>[HALLUCINATION] useless action executed:2
[HALLUCINATION] inefficient robot deployment:1</t>
  </si>
  <si>
    <t xml:space="preserve">[HALLUCINATION] useless action executed:2
[HALLUCINATION] inefficient robot deployment:1
</t>
  </si>
  <si>
    <t>[HALLUCINATION] useless action executed:2
[PLANNING ERROR] wrong area monitored:1
[PLANNING ERROR] unmonitored area:1
[FAIL] fail:it didn't monitor the area with the intruder</t>
  </si>
  <si>
    <t>[HALLUCINATION] useless action executed:1
[PLANNING ERROR] unmonitored area:1
[FAIL] fail:it didn't monitor the area with the intruder</t>
  </si>
  <si>
    <t>[HALLUCINATION] inefficient robot deployment:1
[HALLUCINATION] useless action executed:4</t>
  </si>
  <si>
    <t xml:space="preserve">[HALLUCINATION] useless action executed:3
[HALLUCINATION] inefficient robot deployment:1
</t>
  </si>
  <si>
    <t>[PLANNING ERROR] wrong action executed:1</t>
  </si>
  <si>
    <t>[HALLUCINATION] inefficient robot deployment:1
[HALLUCINATION] useless action executed:2
[PLANNING ERROR] unmonitored area:2
[FAIL] fail:it didn't monitored the area with the intruder</t>
  </si>
  <si>
    <t>[HALLUCINATION] inefficient robot deployment:1
[HALLUCINATION] useless action executed:6
[PLANNING ERROR] unmonitored area:1
[PLANNING ERROR] wrong area monitored:2
[FAIL] fail:it didn't monitor the area with the intruder</t>
  </si>
  <si>
    <t>[HALLUCINATION] inefficient robot deployment:1
[HALLUCINATION] useless action executed:3
[PLANNING ERROR] unmonitored area:1
[FAIL] fail:it didn't monitor the area with the intruder</t>
  </si>
  <si>
    <t>[HALLUCINATION] useless action executed:2
[HALLUCINATION]  wrong or incomplete space information:1
[HALLUCINATION] inefficient robot deployment:1</t>
  </si>
  <si>
    <t/>
  </si>
  <si>
    <t>[HALLUCINATION] inefficient robot deployment:1
[PLANNING ERROR] unproposed area: 1
[HALLUCINATION CORRECTION] inefficient robot deployment:1
[PLANNING ERROR CORRECTION] unproposed area: 1</t>
  </si>
  <si>
    <t xml:space="preserve">[HALLUCINATION] inefficient robot deployment:1
[HALLUCINATION CORRECTION] inefficient robot deployment:1
[HALLUCINATION] wrong or incomplete space information:1
</t>
  </si>
  <si>
    <t xml:space="preserve">[HALLUCINATION] wrong or incomplete space information:2
[HALLUCINATION] inefficient robot deployment:2
[HALLUCINATION CORRECTION] inefficient robot deployment:2
[HALLUCINATION] useless action executed:2
[PLANNING ERROR] wrong area proposed:2
[PLANNING ERROR CORRECTION] wrong area proposed:2 </t>
  </si>
  <si>
    <t>[PLANNING ERROR] unproposed area:1
[PLANNING ERROR] wrong area proposed:1
[PLANNING ERROR CORRECTION] unproposed area:1
[PLANNING ERROR CORRECTION] wrong area proposed:1</t>
  </si>
  <si>
    <t>[HALLUCINATION] inefficient robot deployment:1
[PLANNING ERROR] wrong action proposed: 1
[HALLUCINATION CORRECTION] inefficient robot deployment:1
[PLANNING ERROR CORRECTION] wrong action proposed: 1</t>
  </si>
  <si>
    <t>[HALLUCINATION] inefficient robot deployment:2
[HALLUCINATION] wrong or incomplete space information:1
[HALLUCINATION CORRECTION] inefficient robot deployment:2
[HALLUCINATION CORRECTION] wrong or incomplete space information:1</t>
  </si>
  <si>
    <t>[HALLUCINATION] useless action executed:1
[PLANNING ERROR] wrong action proposed:1
[PLANNING ERROR CORRECTION] wrong action proposed:1
[HALLUCINATION] inefficient robot deployment:2
[HALLUCINATION CORRECTION] inefficient robot deployment:2
[HALLUCINATION] wrong or incomplete space information:1
[HALLUCINATION CORRECTION] wrong or incomplete space information:1</t>
  </si>
  <si>
    <t>[HALLUCINATION] inefficient robot deployment:1
[HALLUCINATION CORRECTION] inefficient robot deployment:1
[HALLUCINATION] useless action executed:2</t>
  </si>
  <si>
    <t>[HALLUCINATION] inefficient robot deployment:1
[PLANNING ERROR] wrong action proposed:1
[PLANNING ERROR] unproposed area:1
[HALLUCINATION CORRECTION] inefficient robot deployment:1
[PLANNING ERROR CORRECTION] wrong action proposed:1
[PLANNING ERROR CORRECTION] unproposed area:1</t>
  </si>
  <si>
    <t>[HALLUCINATION] inefficient robot deployment:2
[PLANNING ERROR] unproposed area:2 
[HALLUCINATION CORRECTION] inefficient robot deployment:2
[PLANNING ERROR CORRECTION] unproposed area:2</t>
  </si>
  <si>
    <t>[HALLUCINATION] wrong or incomplete space information:1 
[HALLUCINATION CORRECTION] wrong or incomplete space information:1</t>
  </si>
  <si>
    <t>[PLANNING ERROR] wrong area proposed:2
[PLANNING ERROR CORRECTION] wrong area proposed:2
[ACTION ERROR] wrong parameters:2</t>
  </si>
  <si>
    <t xml:space="preserve">[PLANNING ERROR] wrong action proposed:1
[PLANNING ERROR CORRECTION] wrong action proposed:1
[ACTION ERROR] unauthorized action execution:1
</t>
  </si>
  <si>
    <t>[HALLUCINATION] wrong or incomplete space information:2
[HALLUCINATION CORRECTION] wrong or incomplete space information:2
[HALLUCINATION] inefficient robot deployment:2
[HALLUCINATION CORRECTION] inefficient robot deployment:2
[PLANNING ERROR] wrong action proposed:1
[PLANNING ERROR CORRECTION] wrong action proposed:1</t>
  </si>
  <si>
    <t>[HALLUCINATION] inefficient robot deployment:1
[PLANNING ERROR] wrong action proposed:1
[HALLUCINATION CORRECTION] inefficient robot deployment:1
[PLANNING ERROR CORRECTION] wrong action proposed:1</t>
  </si>
  <si>
    <t>[FAIL] fail:it didn't create the plan after received back the report from deployed robot</t>
  </si>
  <si>
    <t>[HALLUCINATION] useless action executed:4</t>
  </si>
  <si>
    <t>[HALLUCINATION] useless action executed:2
[PLANNING ERROR] wrong area monitored:1</t>
  </si>
  <si>
    <t>[HALLUCINATION] inefficient robot deployment:1
[HALLUCINATION] useless action executed:2</t>
  </si>
  <si>
    <t>[PLANNING ERROR] wrong area monitored:2
[HALLUCINATION] useless action executed:4
[HALLUCINATION] inefficient robot deployment:1</t>
  </si>
  <si>
    <t>[HALLUCINATION] inefficient robot deployment:1
[HALLUCINATION] useless action executed:3</t>
  </si>
  <si>
    <t>[HALLUCINATION] useless action executed: 2</t>
  </si>
  <si>
    <t>[HALLUCINATION] useless action executed: 3</t>
  </si>
  <si>
    <t>[HALLUCINATION] useless action executed: 1</t>
  </si>
  <si>
    <t>[HALLUCINATION] useless action executed:2
[HALLUCINATION] wrong or incomplete space information:1
[HALLUCINATION] inefficient robot deployment:1</t>
  </si>
  <si>
    <t>[HALLUCINATION] useless action executed:2
[HALLUCINATION] wrong or incomplete space information:2
[HALLUCINATION] inefficient robot deployment:1</t>
  </si>
</sst>
</file>

<file path=xl/styles.xml><?xml version="1.0" encoding="utf-8"?>
<styleSheet xmlns="http://schemas.openxmlformats.org/spreadsheetml/2006/main" xmlns:x14ac="http://schemas.microsoft.com/office/spreadsheetml/2009/9/ac" xmlns:mc="http://schemas.openxmlformats.org/markup-compatibility/2006" mc:Ignorable="x14ac">
  <numFmts count="1">
    <numFmt numFmtId="164" formatCode="#,##0.00%"/>
  </numFmts>
  <fonts count="11" x14ac:knownFonts="1">
    <font>
      <sz val="11"/>
      <color theme="1"/>
      <name val="Calibri"/>
      <family val="2"/>
      <scheme val="minor"/>
    </font>
    <font>
      <b/>
      <sz val="12"/>
      <color rgb="FF000000"/>
      <name val="Aptos Narrow"/>
      <family val="2"/>
    </font>
    <font>
      <sz val="11"/>
      <color theme="1"/>
      <name val="Calibri"/>
      <family val="2"/>
    </font>
    <font>
      <b/>
      <sz val="12"/>
      <color rgb="FFff0000"/>
      <name val="Aptos Narrow"/>
      <family val="2"/>
    </font>
    <font>
      <sz val="12"/>
      <color rgb="FFff0000"/>
      <name val="Aptos Narrow"/>
      <family val="2"/>
    </font>
    <font>
      <sz val="48"/>
      <color rgb="FF000000"/>
      <name val="Aptos Narrow"/>
      <family val="2"/>
    </font>
    <font>
      <b/>
      <sz val="16"/>
      <color rgb="FF000000"/>
      <name val="Aptos Narrow"/>
      <family val="2"/>
    </font>
    <font>
      <sz val="12"/>
      <color rgb="FF000000"/>
      <name val="Aptos Narrow"/>
      <family val="2"/>
    </font>
    <font>
      <sz val="12"/>
      <color rgb="FF000000"/>
      <name val="Aptos Narrow (Corpo)"/>
      <family val="2"/>
    </font>
    <font>
      <b/>
      <sz val="18"/>
      <color rgb="FF000000"/>
      <name val="Aptos Narrow"/>
      <family val="2"/>
    </font>
    <font>
      <sz val="18"/>
      <color rgb="FF000000"/>
      <name val="Aptos Narrow"/>
      <family val="2"/>
    </font>
  </fonts>
  <fills count="5">
    <fill>
      <patternFill patternType="none"/>
    </fill>
    <fill>
      <patternFill patternType="gray125"/>
    </fill>
    <fill>
      <patternFill patternType="solid">
        <fgColor rgb="FFbfbfbf"/>
      </patternFill>
    </fill>
    <fill>
      <patternFill patternType="solid">
        <fgColor rgb="FFffffff"/>
      </patternFill>
    </fill>
    <fill>
      <patternFill patternType="solid">
        <fgColor rgb="FFffff00"/>
      </patternFill>
    </fill>
  </fills>
  <borders count="92">
    <border>
      <left/>
      <right/>
      <top/>
      <bottom/>
      <diagonal/>
    </border>
    <border>
      <left/>
      <right/>
      <top/>
      <bottom/>
      <diagonal/>
    </border>
    <border>
      <left style="medium">
        <color rgb="FF000000"/>
      </left>
      <right style="thin">
        <color rgb="FFc6c6c6"/>
      </right>
      <top style="medium">
        <color rgb="FF000000"/>
      </top>
      <bottom style="medium">
        <color rgb="FF000000"/>
      </bottom>
      <diagonal/>
    </border>
    <border>
      <left style="thin">
        <color rgb="FFc6c6c6"/>
      </left>
      <right style="thin">
        <color rgb="FFc6c6c6"/>
      </right>
      <top style="medium">
        <color rgb="FF000000"/>
      </top>
      <bottom style="medium">
        <color rgb="FF000000"/>
      </bottom>
      <diagonal/>
    </border>
    <border>
      <left style="thin">
        <color rgb="FFc6c6c6"/>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style="thin">
        <color rgb="FF000000"/>
      </bottom>
      <diagonal/>
    </border>
    <border>
      <left style="medium">
        <color rgb="FF000000"/>
      </left>
      <right style="thin">
        <color rgb="FF000000"/>
      </right>
      <top style="thin">
        <color rgb="FFc6c6c6"/>
      </top>
      <bottom style="thin">
        <color rgb="FF000000"/>
      </bottom>
      <diagonal/>
    </border>
    <border>
      <left style="thin">
        <color rgb="FF000000"/>
      </left>
      <right style="thin">
        <color rgb="FF000000"/>
      </right>
      <top style="thin">
        <color rgb="FFc6c6c6"/>
      </top>
      <bottom style="thin">
        <color rgb="FF000000"/>
      </bottom>
      <diagonal/>
    </border>
    <border>
      <left style="thin">
        <color rgb="FF000000"/>
      </left>
      <right style="thin">
        <color rgb="FFc6c6c6"/>
      </right>
      <top style="thin">
        <color rgb="FFc6c6c6"/>
      </top>
      <bottom style="thin">
        <color rgb="FF000000"/>
      </bottom>
      <diagonal/>
    </border>
    <border>
      <left style="thin">
        <color rgb="FF000000"/>
      </left>
      <right style="medium">
        <color rgb="FF000000"/>
      </right>
      <top style="thin">
        <color rgb="FFc6c6c6"/>
      </top>
      <bottom style="thin">
        <color rgb="FF000000"/>
      </bottom>
      <diagonal/>
    </border>
    <border>
      <left style="thin">
        <color rgb="FFc6c6c6"/>
      </left>
      <right style="thin">
        <color rgb="FFc6c6c6"/>
      </right>
      <top style="thin">
        <color rgb="FFc6c6c6"/>
      </top>
      <bottom style="thin">
        <color rgb="FF000000"/>
      </bottom>
      <diagonal/>
    </border>
    <border>
      <left style="thin">
        <color rgb="FFc6c6c6"/>
      </left>
      <right style="thin">
        <color rgb="FF000000"/>
      </right>
      <top style="thin">
        <color rgb="FFc6c6c6"/>
      </top>
      <bottom style="thin">
        <color rgb="FF000000"/>
      </bottom>
      <diagonal/>
    </border>
    <border>
      <left style="thin">
        <color rgb="FFc6c6c6"/>
      </left>
      <right style="medium">
        <color rgb="FF000000"/>
      </right>
      <top style="thin">
        <color rgb="FFc6c6c6"/>
      </top>
      <bottom style="thin">
        <color rgb="FF000000"/>
      </bottom>
      <diagonal/>
    </border>
    <border>
      <left style="medium">
        <color rgb="FF000000"/>
      </left>
      <right style="thin">
        <color rgb="FF000000"/>
      </right>
      <top style="medium">
        <color rgb="FF000000"/>
      </top>
      <bottom style="thin">
        <color rgb="FF000000"/>
      </bottom>
      <diagonal/>
    </border>
    <border>
      <left style="thin">
        <color rgb="FFc6c6c6"/>
      </left>
      <right style="thin">
        <color rgb="FF000000"/>
      </right>
      <top style="medium">
        <color rgb="FF000000"/>
      </top>
      <bottom style="thin">
        <color rgb="FF000000"/>
      </bottom>
      <diagonal/>
    </border>
    <border>
      <left style="thin">
        <color rgb="FFc6c6c6"/>
      </left>
      <right style="medium">
        <color rgb="FF000000"/>
      </right>
      <top style="medium">
        <color rgb="FF000000"/>
      </top>
      <bottom style="thin">
        <color rgb="FF000000"/>
      </bottom>
      <diagonal/>
    </border>
    <border>
      <left style="medium">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thin">
        <color rgb="FF000000"/>
      </left>
      <right style="medium">
        <color rgb="FF000000"/>
      </right>
      <top/>
      <bottom style="thin">
        <color rgb="FF000000"/>
      </bottom>
      <diagonal/>
    </border>
    <border>
      <left style="medium">
        <color rgb="FF000000"/>
      </left>
      <right style="medium">
        <color rgb="FF000000"/>
      </right>
      <top/>
      <bottom style="thin">
        <color rgb="FF000000"/>
      </bottom>
      <diagonal/>
    </border>
    <border>
      <left style="medium">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medium">
        <color rgb="FF000000"/>
      </left>
      <right style="medium">
        <color rgb="FF000000"/>
      </right>
      <top style="thin">
        <color rgb="FF000000"/>
      </top>
      <bottom/>
      <diagonal/>
    </border>
    <border>
      <left style="medium">
        <color rgb="FF000000"/>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style="medium">
        <color rgb="FF000000"/>
      </right>
      <top style="thin">
        <color rgb="FF000000"/>
      </top>
      <bottom/>
      <diagonal/>
    </border>
    <border>
      <left style="medium">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medium">
        <color rgb="FF000000"/>
      </right>
      <top/>
      <bottom style="medium">
        <color rgb="FF000000"/>
      </bottom>
      <diagonal/>
    </border>
    <border>
      <left/>
      <right style="thin">
        <color rgb="FF000000"/>
      </right>
      <top/>
      <bottom/>
      <diagonal/>
    </border>
    <border>
      <left style="thin">
        <color rgb="FF000000"/>
      </left>
      <right style="thin">
        <color rgb="FF000000"/>
      </right>
      <top/>
      <bottom/>
      <diagonal/>
    </border>
    <border>
      <left style="medium">
        <color rgb="FF000000"/>
      </left>
      <right style="thin">
        <color rgb="FF000000"/>
      </right>
      <top/>
      <bottom style="medium">
        <color rgb="FF000000"/>
      </bottom>
      <diagonal/>
    </border>
    <border>
      <left style="medium">
        <color rgb="FF000000"/>
      </left>
      <right style="thin">
        <color rgb="FFc6c6c6"/>
      </right>
      <top style="medium">
        <color rgb="FF000000"/>
      </top>
      <bottom style="thin">
        <color rgb="FFc6c6c6"/>
      </bottom>
      <diagonal/>
    </border>
    <border>
      <left style="thin">
        <color rgb="FFc6c6c6"/>
      </left>
      <right style="thin">
        <color rgb="FFc6c6c6"/>
      </right>
      <top style="medium">
        <color rgb="FF000000"/>
      </top>
      <bottom style="thin">
        <color rgb="FFc6c6c6"/>
      </bottom>
      <diagonal/>
    </border>
    <border>
      <left style="thin">
        <color rgb="FF000000"/>
      </left>
      <right style="thin">
        <color rgb="FF000000"/>
      </right>
      <top style="medium">
        <color rgb="FF000000"/>
      </top>
      <bottom style="thin">
        <color rgb="FF000000"/>
      </bottom>
      <diagonal/>
    </border>
    <border>
      <left style="thin">
        <color rgb="FF000000"/>
      </left>
      <right style="thin">
        <color rgb="FFc6c6c6"/>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top style="medium">
        <color rgb="FF000000"/>
      </top>
      <bottom style="thin">
        <color rgb="FF000000"/>
      </bottom>
      <diagonal/>
    </border>
    <border>
      <left/>
      <right style="thin">
        <color rgb="FF000000"/>
      </right>
      <top style="thin">
        <color rgb="FF000000"/>
      </top>
      <bottom style="medium">
        <color rgb="FF000000"/>
      </bottom>
      <diagonal/>
    </border>
    <border>
      <left/>
      <right/>
      <top style="thin">
        <color rgb="FF000000"/>
      </top>
      <bottom style="thin">
        <color rgb="FF000000"/>
      </bottom>
      <diagonal/>
    </border>
    <border>
      <left/>
      <right/>
      <top/>
      <bottom style="thin">
        <color rgb="FF000000"/>
      </bottom>
      <diagonal/>
    </border>
    <border>
      <left/>
      <right/>
      <top style="thin">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thin">
        <color rgb="FFc6c6c6"/>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c6c6c6"/>
      </left>
      <right style="thin">
        <color rgb="FF000000"/>
      </right>
      <top style="medium">
        <color rgb="FF000000"/>
      </top>
      <bottom style="medium">
        <color rgb="FF000000"/>
      </bottom>
      <diagonal/>
    </border>
    <border>
      <left/>
      <right style="medium">
        <color rgb="FF000000"/>
      </right>
      <top style="medium">
        <color rgb="FF000000"/>
      </top>
      <bottom style="thin">
        <color rgb="FF000000"/>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right style="medium">
        <color rgb="FF000000"/>
      </right>
      <top/>
      <bottom style="thin">
        <color rgb="FF000000"/>
      </bottom>
      <diagonal/>
    </border>
    <border>
      <left/>
      <right style="thin">
        <color rgb="FF000000"/>
      </right>
      <top style="thin">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top style="thin">
        <color rgb="FF000000"/>
      </top>
      <bottom/>
      <diagonal/>
    </border>
    <border>
      <left style="medium">
        <color rgb="FF000000"/>
      </left>
      <right/>
      <top/>
      <bottom style="thin">
        <color rgb="FF000000"/>
      </bottom>
      <diagonal/>
    </border>
    <border>
      <left/>
      <right/>
      <top style="medium">
        <color rgb="FF000000"/>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diagonal/>
    </border>
    <border>
      <left style="medium">
        <color rgb="FF000000"/>
      </left>
      <right/>
      <top style="medium">
        <color rgb="FF000000"/>
      </top>
      <bottom style="thin">
        <color rgb="FF000000"/>
      </bottom>
      <diagonal/>
    </border>
    <border>
      <left style="medium">
        <color rgb="FF000000"/>
      </left>
      <right/>
      <top style="thin">
        <color rgb="FF000000"/>
      </top>
      <bottom style="medium">
        <color rgb="FF000000"/>
      </bottom>
      <diagonal/>
    </border>
    <border>
      <left/>
      <right style="medium">
        <color rgb="FF000000"/>
      </right>
      <top style="thin">
        <color rgb="FF000000"/>
      </top>
      <bottom/>
      <diagonal/>
    </border>
    <border>
      <left style="medium">
        <color rgb="FF000000"/>
      </left>
      <right style="thin">
        <color rgb="FF000000"/>
      </right>
      <top style="medium">
        <color rgb="FF000000"/>
      </top>
      <bottom style="thin">
        <color rgb="FFc6c6c6"/>
      </bottom>
      <diagonal/>
    </border>
    <border>
      <left style="thin">
        <color rgb="FF000000"/>
      </left>
      <right style="thin">
        <color rgb="FF000000"/>
      </right>
      <top style="medium">
        <color rgb="FF000000"/>
      </top>
      <bottom style="thin">
        <color rgb="FFc6c6c6"/>
      </bottom>
      <diagonal/>
    </border>
    <border>
      <left style="thin">
        <color rgb="FF000000"/>
      </left>
      <right style="thin">
        <color rgb="FFc6c6c6"/>
      </right>
      <top style="medium">
        <color rgb="FF000000"/>
      </top>
      <bottom style="thin">
        <color rgb="FFc6c6c6"/>
      </bottom>
      <diagonal/>
    </border>
    <border>
      <left style="thin">
        <color rgb="FF000000"/>
      </left>
      <right style="medium">
        <color rgb="FF000000"/>
      </right>
      <top style="medium">
        <color rgb="FF000000"/>
      </top>
      <bottom style="thin">
        <color rgb="FFc6c6c6"/>
      </bottom>
      <diagonal/>
    </border>
    <border>
      <left style="medium">
        <color rgb="FF000000"/>
      </left>
      <right style="medium">
        <color rgb="FF000000"/>
      </right>
      <top style="medium">
        <color rgb="FF000000"/>
      </top>
      <bottom style="thin">
        <color rgb="FFc6c6c6"/>
      </bottom>
      <diagonal/>
    </border>
    <border>
      <left style="thin">
        <color rgb="FF000000"/>
      </left>
      <right style="medium">
        <color rgb="FF000000"/>
      </right>
      <top style="thin">
        <color rgb="FFc6c6c6"/>
      </top>
      <bottom style="thin">
        <color rgb="FFc6c6c6"/>
      </bottom>
      <diagonal/>
    </border>
    <border>
      <left style="thin">
        <color rgb="FFc6c6c6"/>
      </left>
      <right style="medium">
        <color rgb="FF000000"/>
      </right>
      <top style="medium">
        <color rgb="FF000000"/>
      </top>
      <bottom style="thin">
        <color rgb="FFc6c6c6"/>
      </bottom>
      <diagonal/>
    </border>
    <border>
      <left style="thin">
        <color rgb="FFc6c6c6"/>
      </left>
      <right style="thin">
        <color rgb="FF000000"/>
      </right>
      <top style="thin">
        <color rgb="FF000000"/>
      </top>
      <bottom style="thin">
        <color rgb="FF000000"/>
      </bottom>
      <diagonal/>
    </border>
  </borders>
  <cellStyleXfs count="1">
    <xf numFmtId="0" fontId="0" fillId="0" borderId="0"/>
  </cellStyleXfs>
  <cellXfs count="308">
    <xf xfId="0" numFmtId="0" borderId="0" fontId="0" fillId="0"/>
    <xf xfId="0" numFmtId="0" borderId="0" fontId="0" fillId="0" applyAlignment="1">
      <alignment wrapText="1"/>
    </xf>
    <xf xfId="0" numFmtId="0" borderId="1" applyBorder="1" fontId="1" applyFont="1" fillId="0" applyAlignment="1">
      <alignment horizontal="center" wrapText="1"/>
    </xf>
    <xf xfId="0" numFmtId="3" applyNumberFormat="1" borderId="1" applyBorder="1" fontId="2" applyFont="1" fillId="0" applyAlignment="1">
      <alignment horizontal="center" wrapText="1"/>
    </xf>
    <xf xfId="0" numFmtId="3" applyNumberFormat="1" borderId="0" fontId="0" fillId="0" applyAlignment="1">
      <alignment horizontal="left" wrapText="1"/>
    </xf>
    <xf xfId="0" numFmtId="0" borderId="0" fontId="0" fillId="0" applyAlignment="1">
      <alignment horizontal="left" wrapText="1"/>
    </xf>
    <xf xfId="0" numFmtId="3" applyNumberFormat="1" borderId="0" fontId="0" fillId="0" applyAlignment="1">
      <alignment horizontal="general" wrapText="1"/>
    </xf>
    <xf xfId="0" numFmtId="0" borderId="0" fontId="0" fillId="0" applyAlignment="1">
      <alignment horizontal="general" wrapText="1"/>
    </xf>
    <xf xfId="0" numFmtId="4" applyNumberFormat="1" borderId="0" fontId="0" fillId="0" applyAlignment="1">
      <alignment horizontal="general" wrapText="1"/>
    </xf>
    <xf xfId="0" numFmtId="0" borderId="1" applyBorder="1" fontId="3" applyFont="1" fillId="0" applyAlignment="1">
      <alignment horizontal="center"/>
    </xf>
    <xf xfId="0" numFmtId="3" applyNumberFormat="1" borderId="1" applyBorder="1" fontId="4" applyFont="1" fillId="0" applyAlignment="1">
      <alignment horizontal="center" wrapText="1"/>
    </xf>
    <xf xfId="0" numFmtId="3" applyNumberFormat="1" borderId="0" fontId="0" fillId="0" applyAlignment="1">
      <alignment horizontal="left"/>
    </xf>
    <xf xfId="0" numFmtId="0" borderId="0" fontId="0" fillId="0" applyAlignment="1">
      <alignment horizontal="left"/>
    </xf>
    <xf xfId="0" numFmtId="3" applyNumberFormat="1" borderId="0" fontId="0" fillId="0" applyAlignment="1">
      <alignment horizontal="general"/>
    </xf>
    <xf xfId="0" numFmtId="0" borderId="0" fontId="0" fillId="0" applyAlignment="1">
      <alignment horizontal="general"/>
    </xf>
    <xf xfId="0" numFmtId="4" applyNumberFormat="1" borderId="0" fontId="0" fillId="0" applyAlignment="1">
      <alignment horizontal="general"/>
    </xf>
    <xf xfId="0" numFmtId="0" borderId="1" applyBorder="1" fontId="5" applyFont="1" fillId="0" applyAlignment="1">
      <alignment horizontal="center"/>
    </xf>
    <xf xfId="0" numFmtId="3" applyNumberFormat="1" borderId="1" applyBorder="1" fontId="5" applyFont="1" fillId="0" applyAlignment="1">
      <alignment horizontal="center"/>
    </xf>
    <xf xfId="0" numFmtId="4" applyNumberFormat="1" borderId="1" applyBorder="1" fontId="5" applyFont="1" fillId="0" applyAlignment="1">
      <alignment horizontal="center"/>
    </xf>
    <xf xfId="0" numFmtId="3" applyNumberFormat="1" borderId="2" applyBorder="1" fontId="6" applyFont="1" fillId="2" applyFill="1" applyAlignment="1">
      <alignment horizontal="center"/>
    </xf>
    <xf xfId="0" numFmtId="3" applyNumberFormat="1" borderId="3" applyBorder="1" fontId="6" applyFont="1" fillId="2" applyFill="1" applyAlignment="1">
      <alignment horizontal="center"/>
    </xf>
    <xf xfId="0" numFmtId="0" borderId="4" applyBorder="1" fontId="6" applyFont="1" fillId="2" applyFill="1" applyAlignment="1">
      <alignment horizontal="center"/>
    </xf>
    <xf xfId="0" numFmtId="4" applyNumberFormat="1" borderId="2" applyBorder="1" fontId="6" applyFont="1" fillId="2" applyFill="1" applyAlignment="1">
      <alignment horizontal="center"/>
    </xf>
    <xf xfId="0" numFmtId="4" applyNumberFormat="1" borderId="3" applyBorder="1" fontId="6" applyFont="1" fillId="2" applyFill="1" applyAlignment="1">
      <alignment horizontal="center"/>
    </xf>
    <xf xfId="0" numFmtId="4" applyNumberFormat="1" borderId="4" applyBorder="1" fontId="6" applyFont="1" fillId="2" applyFill="1" applyAlignment="1">
      <alignment horizontal="center"/>
    </xf>
    <xf xfId="0" numFmtId="0" borderId="5" applyBorder="1" fontId="6" applyFont="1" fillId="2" applyFill="1" applyAlignment="1">
      <alignment horizontal="left"/>
    </xf>
    <xf xfId="0" numFmtId="3" applyNumberFormat="1" borderId="6" applyBorder="1" fontId="1" applyFont="1" fillId="2" applyFill="1" applyAlignment="1">
      <alignment horizontal="center"/>
    </xf>
    <xf xfId="0" numFmtId="3" applyNumberFormat="1" borderId="7" applyBorder="1" fontId="1" applyFont="1" fillId="2" applyFill="1" applyAlignment="1">
      <alignment horizontal="center"/>
    </xf>
    <xf xfId="0" numFmtId="3" applyNumberFormat="1" borderId="8" applyBorder="1" fontId="1" applyFont="1" fillId="2" applyFill="1" applyAlignment="1">
      <alignment horizontal="center"/>
    </xf>
    <xf xfId="0" numFmtId="3" applyNumberFormat="1" borderId="9" applyBorder="1" fontId="1" applyFont="1" fillId="2" applyFill="1" applyAlignment="1">
      <alignment horizontal="center"/>
    </xf>
    <xf xfId="0" numFmtId="0" borderId="10" applyBorder="1" fontId="1" applyFont="1" fillId="2" applyFill="1" applyAlignment="1">
      <alignment horizontal="center"/>
    </xf>
    <xf xfId="0" numFmtId="0" borderId="10" applyBorder="1" fontId="1" applyFont="1" fillId="2" applyFill="1" applyAlignment="1">
      <alignment horizontal="left"/>
    </xf>
    <xf xfId="0" numFmtId="3" applyNumberFormat="1" borderId="11" applyBorder="1" fontId="1" applyFont="1" fillId="2" applyFill="1" applyAlignment="1">
      <alignment horizontal="center"/>
    </xf>
    <xf xfId="0" numFmtId="3" applyNumberFormat="1" borderId="10" applyBorder="1" fontId="1" applyFont="1" fillId="2" applyFill="1" applyAlignment="1">
      <alignment horizontal="center"/>
    </xf>
    <xf xfId="0" numFmtId="3" applyNumberFormat="1" borderId="12" applyBorder="1" fontId="1" applyFont="1" fillId="2" applyFill="1" applyAlignment="1">
      <alignment horizontal="center"/>
    </xf>
    <xf xfId="0" numFmtId="4" applyNumberFormat="1" borderId="13" applyBorder="1" fontId="1" applyFont="1" fillId="2" applyFill="1" applyAlignment="1">
      <alignment horizontal="center"/>
    </xf>
    <xf xfId="0" numFmtId="4" applyNumberFormat="1" borderId="14" applyBorder="1" fontId="1" applyFont="1" fillId="2" applyFill="1" applyAlignment="1">
      <alignment horizontal="center"/>
    </xf>
    <xf xfId="0" numFmtId="4" applyNumberFormat="1" borderId="15" applyBorder="1" fontId="1" applyFont="1" fillId="2" applyFill="1" applyAlignment="1">
      <alignment horizontal="center"/>
    </xf>
    <xf xfId="0" numFmtId="0" borderId="16" applyBorder="1" fontId="2" applyFont="1" fillId="0" applyAlignment="1">
      <alignment horizontal="left"/>
    </xf>
    <xf xfId="0" numFmtId="3" applyNumberFormat="1" borderId="17" applyBorder="1" fontId="2" applyFont="1" fillId="0" applyAlignment="1">
      <alignment horizontal="center"/>
    </xf>
    <xf xfId="0" numFmtId="3" applyNumberFormat="1" borderId="18" applyBorder="1" fontId="2" applyFont="1" fillId="0" applyAlignment="1">
      <alignment horizontal="center"/>
    </xf>
    <xf xfId="0" numFmtId="3" applyNumberFormat="1" borderId="18" applyBorder="1" fontId="2" applyFont="1" fillId="0" applyAlignment="1">
      <alignment horizontal="center" wrapText="1"/>
    </xf>
    <xf xfId="0" numFmtId="3" applyNumberFormat="1" borderId="19" applyBorder="1" fontId="2" applyFont="1" fillId="0" applyAlignment="1">
      <alignment horizontal="center"/>
    </xf>
    <xf xfId="0" numFmtId="3" applyNumberFormat="1" borderId="20" applyBorder="1" fontId="2" applyFont="1" fillId="0" applyAlignment="1">
      <alignment horizontal="center" wrapText="1"/>
    </xf>
    <xf xfId="0" numFmtId="0" borderId="5" applyBorder="1" fontId="2" applyFont="1" fillId="0" applyAlignment="1">
      <alignment horizontal="left" wrapText="1"/>
    </xf>
    <xf xfId="0" numFmtId="3" applyNumberFormat="1" borderId="21" applyBorder="1" fontId="2" applyFont="1" fillId="0" applyAlignment="1">
      <alignment horizontal="center"/>
    </xf>
    <xf xfId="0" numFmtId="3" applyNumberFormat="1" borderId="22" applyBorder="1" fontId="2" applyFont="1" fillId="0" applyAlignment="1">
      <alignment horizontal="center"/>
    </xf>
    <xf xfId="0" numFmtId="3" applyNumberFormat="1" borderId="23" applyBorder="1" fontId="2" applyFont="1" fillId="0" applyAlignment="1">
      <alignment horizontal="center"/>
    </xf>
    <xf xfId="0" numFmtId="3" applyNumberFormat="1" borderId="24" applyBorder="1" fontId="2" applyFont="1" fillId="0" applyAlignment="1">
      <alignment horizontal="center"/>
    </xf>
    <xf xfId="0" numFmtId="0" borderId="25" applyBorder="1" fontId="4" applyFont="1" fillId="0" applyAlignment="1">
      <alignment horizontal="left" wrapText="1"/>
    </xf>
    <xf xfId="0" numFmtId="0" borderId="25" applyBorder="1" fontId="7" applyFont="1" fillId="0" applyAlignment="1">
      <alignment horizontal="left" wrapText="1"/>
    </xf>
    <xf xfId="0" numFmtId="4" applyNumberFormat="1" borderId="17" applyBorder="1" fontId="2" applyFont="1" fillId="0" applyAlignment="1">
      <alignment horizontal="center"/>
    </xf>
    <xf xfId="0" numFmtId="4" applyNumberFormat="1" borderId="16" applyBorder="1" fontId="2" applyFont="1" fillId="0" applyAlignment="1">
      <alignment horizontal="center"/>
    </xf>
    <xf xfId="0" numFmtId="4" applyNumberFormat="1" borderId="26" applyBorder="1" fontId="7" applyFont="1" fillId="0" applyAlignment="1">
      <alignment horizontal="center"/>
    </xf>
    <xf xfId="0" numFmtId="4" applyNumberFormat="1" borderId="25" applyBorder="1" fontId="7" applyFont="1" fillId="0" applyAlignment="1">
      <alignment horizontal="center"/>
    </xf>
    <xf xfId="0" numFmtId="3" applyNumberFormat="1" borderId="20" applyBorder="1" fontId="2" applyFont="1" fillId="0" applyAlignment="1">
      <alignment horizontal="center"/>
    </xf>
    <xf xfId="0" numFmtId="0" borderId="16" applyBorder="1" fontId="2" applyFont="1" fillId="0" applyAlignment="1">
      <alignment horizontal="left" wrapText="1"/>
    </xf>
    <xf xfId="0" numFmtId="3" applyNumberFormat="1" borderId="27" applyBorder="1" fontId="2" applyFont="1" fillId="0" applyAlignment="1">
      <alignment horizontal="center"/>
    </xf>
    <xf xfId="0" numFmtId="0" borderId="28" applyBorder="1" fontId="2" applyFont="1" fillId="0" applyAlignment="1">
      <alignment horizontal="left"/>
    </xf>
    <xf xfId="0" numFmtId="3" applyNumberFormat="1" borderId="29" applyBorder="1" fontId="2" applyFont="1" fillId="0" applyAlignment="1">
      <alignment horizontal="center"/>
    </xf>
    <xf xfId="0" numFmtId="3" applyNumberFormat="1" borderId="30" applyBorder="1" fontId="2" applyFont="1" fillId="0" applyAlignment="1">
      <alignment horizontal="center"/>
    </xf>
    <xf xfId="0" numFmtId="3" applyNumberFormat="1" borderId="31" applyBorder="1" fontId="2" applyFont="1" fillId="0" applyAlignment="1">
      <alignment horizontal="center"/>
    </xf>
    <xf xfId="0" numFmtId="3" applyNumberFormat="1" borderId="32" applyBorder="1" fontId="2" applyFont="1" fillId="0" applyAlignment="1">
      <alignment horizontal="center"/>
    </xf>
    <xf xfId="0" numFmtId="0" borderId="28" applyBorder="1" fontId="2" applyFont="1" fillId="0" applyAlignment="1">
      <alignment horizontal="left" wrapText="1"/>
    </xf>
    <xf xfId="0" numFmtId="0" borderId="33" applyBorder="1" fontId="2" applyFont="1" fillId="0" applyAlignment="1">
      <alignment horizontal="left"/>
    </xf>
    <xf xfId="0" numFmtId="3" applyNumberFormat="1" borderId="34" applyBorder="1" fontId="2" applyFont="1" fillId="0" applyAlignment="1">
      <alignment horizontal="center"/>
    </xf>
    <xf xfId="0" numFmtId="3" applyNumberFormat="1" borderId="35" applyBorder="1" fontId="2" applyFont="1" fillId="0" applyAlignment="1">
      <alignment horizontal="center"/>
    </xf>
    <xf xfId="0" numFmtId="3" applyNumberFormat="1" borderId="36" applyBorder="1" fontId="2" applyFont="1" fillId="0" applyAlignment="1">
      <alignment horizontal="center"/>
    </xf>
    <xf xfId="0" numFmtId="3" applyNumberFormat="1" borderId="37" applyBorder="1" fontId="2" applyFont="1" fillId="0" applyAlignment="1">
      <alignment horizontal="center"/>
    </xf>
    <xf xfId="0" numFmtId="0" borderId="33" applyBorder="1" fontId="2" applyFont="1" fillId="0" applyAlignment="1">
      <alignment horizontal="left" wrapText="1"/>
    </xf>
    <xf xfId="0" numFmtId="3" applyNumberFormat="1" borderId="38" applyBorder="1" fontId="2" applyFont="1" fillId="0" applyAlignment="1">
      <alignment horizontal="center"/>
    </xf>
    <xf xfId="0" numFmtId="3" applyNumberFormat="1" borderId="39" applyBorder="1" fontId="2" applyFont="1" fillId="0" applyAlignment="1">
      <alignment horizontal="center"/>
    </xf>
    <xf xfId="0" numFmtId="3" applyNumberFormat="1" borderId="40" applyBorder="1" fontId="2" applyFont="1" fillId="0" applyAlignment="1">
      <alignment horizontal="center"/>
    </xf>
    <xf xfId="0" numFmtId="3" applyNumberFormat="1" borderId="41" applyBorder="1" fontId="2" applyFont="1" fillId="0" applyAlignment="1">
      <alignment horizontal="center"/>
    </xf>
    <xf xfId="0" numFmtId="0" borderId="42" applyBorder="1" fontId="2" applyFont="1" fillId="0" applyAlignment="1">
      <alignment horizontal="left" wrapText="1"/>
    </xf>
    <xf xfId="0" numFmtId="3" applyNumberFormat="1" borderId="43" applyBorder="1" fontId="2" applyFont="1" fillId="0" applyAlignment="1">
      <alignment horizontal="center"/>
    </xf>
    <xf xfId="0" numFmtId="3" applyNumberFormat="1" borderId="44" applyBorder="1" fontId="2" applyFont="1" fillId="0" applyAlignment="1">
      <alignment horizontal="center"/>
    </xf>
    <xf xfId="0" numFmtId="0" borderId="33" applyBorder="1" fontId="7" applyFont="1" fillId="0" applyAlignment="1">
      <alignment horizontal="left" wrapText="1"/>
    </xf>
    <xf xfId="0" numFmtId="4" applyNumberFormat="1" borderId="34" applyBorder="1" fontId="2" applyFont="1" fillId="0" applyAlignment="1">
      <alignment horizontal="center"/>
    </xf>
    <xf xfId="0" numFmtId="4" applyNumberFormat="1" borderId="33" applyBorder="1" fontId="2" applyFont="1" fillId="0" applyAlignment="1">
      <alignment horizontal="center"/>
    </xf>
    <xf xfId="0" numFmtId="4" applyNumberFormat="1" borderId="45" applyBorder="1" fontId="7" applyFont="1" fillId="0" applyAlignment="1">
      <alignment horizontal="center"/>
    </xf>
    <xf xfId="0" numFmtId="4" applyNumberFormat="1" borderId="42" applyBorder="1" fontId="7" applyFont="1" fillId="0" applyAlignment="1">
      <alignment horizontal="center"/>
    </xf>
    <xf xfId="0" numFmtId="4" applyNumberFormat="1" borderId="1" applyBorder="1" fontId="7" applyFont="1" fillId="0" applyAlignment="1">
      <alignment horizontal="left"/>
    </xf>
    <xf xfId="0" numFmtId="0" borderId="3" applyBorder="1" fontId="6" applyFont="1" fillId="2" applyFill="1" applyAlignment="1">
      <alignment horizontal="center"/>
    </xf>
    <xf xfId="0" numFmtId="3" applyNumberFormat="1" borderId="46" applyBorder="1" fontId="6" applyFont="1" fillId="2" applyFill="1" applyAlignment="1">
      <alignment horizontal="center"/>
    </xf>
    <xf xfId="0" numFmtId="3" applyNumberFormat="1" borderId="47" applyBorder="1" fontId="6" applyFont="1" fillId="2" applyFill="1" applyAlignment="1">
      <alignment horizontal="center"/>
    </xf>
    <xf xfId="0" numFmtId="3" applyNumberFormat="1" borderId="13" applyBorder="1" fontId="1" applyFont="1" fillId="2" applyFill="1" applyAlignment="1">
      <alignment horizontal="center"/>
    </xf>
    <xf xfId="0" numFmtId="3" applyNumberFormat="1" borderId="48" applyBorder="1" fontId="1" applyFont="1" fillId="2" applyFill="1" applyAlignment="1">
      <alignment horizontal="center"/>
    </xf>
    <xf xfId="0" numFmtId="3" applyNumberFormat="1" borderId="49" applyBorder="1" fontId="1" applyFont="1" fillId="2" applyFill="1" applyAlignment="1">
      <alignment horizontal="center"/>
    </xf>
    <xf xfId="0" numFmtId="3" applyNumberFormat="1" borderId="50" applyBorder="1" fontId="1" applyFont="1" fillId="2" applyFill="1" applyAlignment="1">
      <alignment horizontal="center"/>
    </xf>
    <xf xfId="0" numFmtId="0" borderId="12" applyBorder="1" fontId="1" applyFont="1" fillId="2" applyFill="1" applyAlignment="1">
      <alignment horizontal="left"/>
    </xf>
    <xf xfId="0" numFmtId="3" applyNumberFormat="1" borderId="51" applyBorder="1" fontId="2" applyFont="1" fillId="0" applyAlignment="1">
      <alignment horizontal="center"/>
    </xf>
    <xf xfId="0" numFmtId="3" applyNumberFormat="1" borderId="48" applyBorder="1" fontId="2" applyFont="1" fillId="0" applyAlignment="1">
      <alignment horizontal="center"/>
    </xf>
    <xf xfId="0" numFmtId="3" applyNumberFormat="1" borderId="52" applyBorder="1" fontId="2" applyFont="1" fillId="0" applyAlignment="1">
      <alignment horizontal="center"/>
    </xf>
    <xf xfId="0" numFmtId="0" borderId="5" applyBorder="1" fontId="7" applyFont="1" fillId="0" applyAlignment="1">
      <alignment horizontal="left" wrapText="1"/>
    </xf>
    <xf xfId="0" numFmtId="0" borderId="25" applyBorder="1" fontId="2" applyFont="1" fillId="0" applyAlignment="1">
      <alignment horizontal="left" wrapText="1"/>
    </xf>
    <xf xfId="0" numFmtId="0" borderId="16" applyBorder="1" fontId="8" applyFont="1" fillId="0" applyAlignment="1">
      <alignment horizontal="left" wrapText="1"/>
    </xf>
    <xf xfId="0" numFmtId="3" applyNumberFormat="1" borderId="53" applyBorder="1" fontId="2" applyFont="1" fillId="0" applyAlignment="1">
      <alignment horizontal="center"/>
    </xf>
    <xf xfId="0" numFmtId="0" borderId="28" applyBorder="1" fontId="7" applyFont="1" fillId="0" applyAlignment="1">
      <alignment horizontal="left" wrapText="1"/>
    </xf>
    <xf xfId="0" numFmtId="0" borderId="5" applyBorder="1" fontId="1" applyFont="1" fillId="2" applyFill="1" applyAlignment="1">
      <alignment horizontal="left"/>
    </xf>
    <xf xfId="0" numFmtId="3" applyNumberFormat="1" borderId="17" applyBorder="1" fontId="2" applyFont="1" fillId="0" applyAlignment="1">
      <alignment horizontal="center" wrapText="1"/>
    </xf>
    <xf xfId="0" numFmtId="3" applyNumberFormat="1" borderId="19" applyBorder="1" fontId="2" applyFont="1" fillId="0" applyAlignment="1">
      <alignment horizontal="center" wrapText="1"/>
    </xf>
    <xf xfId="0" numFmtId="0" borderId="54" applyBorder="1" fontId="2" applyFont="1" fillId="0" applyAlignment="1">
      <alignment horizontal="left" wrapText="1"/>
    </xf>
    <xf xfId="0" numFmtId="3" applyNumberFormat="1" borderId="26" applyBorder="1" fontId="2" applyFont="1" fillId="0" applyAlignment="1">
      <alignment horizontal="center"/>
    </xf>
    <xf xfId="0" numFmtId="0" borderId="55" applyBorder="1" fontId="2" applyFont="1" fillId="0" applyAlignment="1">
      <alignment horizontal="left" wrapText="1"/>
    </xf>
    <xf xfId="0" numFmtId="0" borderId="54" applyBorder="1" fontId="7" applyFont="1" fillId="0" applyAlignment="1">
      <alignment horizontal="left" wrapText="1"/>
    </xf>
    <xf xfId="0" numFmtId="0" borderId="16" applyBorder="1" fontId="7" applyFont="1" fillId="0" applyAlignment="1">
      <alignment horizontal="left" wrapText="1"/>
    </xf>
    <xf xfId="0" numFmtId="3" applyNumberFormat="1" borderId="34" applyBorder="1" fontId="2" applyFont="1" fillId="0" applyAlignment="1">
      <alignment horizontal="center" wrapText="1"/>
    </xf>
    <xf xfId="0" numFmtId="3" applyNumberFormat="1" borderId="35" applyBorder="1" fontId="2" applyFont="1" fillId="0" applyAlignment="1">
      <alignment horizontal="center" wrapText="1"/>
    </xf>
    <xf xfId="0" numFmtId="3" applyNumberFormat="1" borderId="36" applyBorder="1" fontId="2" applyFont="1" fillId="0" applyAlignment="1">
      <alignment horizontal="center" wrapText="1"/>
    </xf>
    <xf xfId="0" numFmtId="3" applyNumberFormat="1" borderId="37" applyBorder="1" fontId="2" applyFont="1" fillId="0" applyAlignment="1">
      <alignment horizontal="center" wrapText="1"/>
    </xf>
    <xf xfId="0" numFmtId="0" borderId="56" applyBorder="1" fontId="2" applyFont="1" fillId="0" applyAlignment="1">
      <alignment horizontal="left" wrapText="1"/>
    </xf>
    <xf xfId="0" numFmtId="0" borderId="57" applyBorder="1" fontId="6" applyFont="1" fillId="2" applyFill="1" applyAlignment="1">
      <alignment horizontal="left"/>
    </xf>
    <xf xfId="0" numFmtId="3" applyNumberFormat="1" borderId="58" applyBorder="1" fontId="1" applyFont="1" fillId="2" applyFill="1" applyAlignment="1">
      <alignment horizontal="center"/>
    </xf>
    <xf xfId="0" numFmtId="3" applyNumberFormat="1" borderId="59" applyBorder="1" fontId="1" applyFont="1" fillId="2" applyFill="1" applyAlignment="1">
      <alignment horizontal="center"/>
    </xf>
    <xf xfId="0" numFmtId="3" applyNumberFormat="1" borderId="60" applyBorder="1" fontId="1" applyFont="1" fillId="2" applyFill="1" applyAlignment="1">
      <alignment horizontal="center"/>
    </xf>
    <xf xfId="0" numFmtId="3" applyNumberFormat="1" borderId="61" applyBorder="1" fontId="1" applyFont="1" fillId="2" applyFill="1" applyAlignment="1">
      <alignment horizontal="center"/>
    </xf>
    <xf xfId="0" numFmtId="0" borderId="3" applyBorder="1" fontId="1" applyFont="1" fillId="2" applyFill="1" applyAlignment="1">
      <alignment horizontal="center"/>
    </xf>
    <xf xfId="0" numFmtId="0" borderId="3" applyBorder="1" fontId="1" applyFont="1" fillId="2" applyFill="1" applyAlignment="1">
      <alignment horizontal="left"/>
    </xf>
    <xf xfId="0" numFmtId="3" applyNumberFormat="1" borderId="62" applyBorder="1" fontId="1" applyFont="1" fillId="2" applyFill="1" applyAlignment="1">
      <alignment horizontal="center"/>
    </xf>
    <xf xfId="0" numFmtId="3" applyNumberFormat="1" borderId="3" applyBorder="1" fontId="1" applyFont="1" fillId="2" applyFill="1" applyAlignment="1">
      <alignment horizontal="center"/>
    </xf>
    <xf xfId="0" numFmtId="3" applyNumberFormat="1" borderId="4" applyBorder="1" fontId="1" applyFont="1" fillId="2" applyFill="1" applyAlignment="1">
      <alignment horizontal="center"/>
    </xf>
    <xf xfId="0" numFmtId="4" applyNumberFormat="1" borderId="58" applyBorder="1" fontId="1" applyFont="1" fillId="2" applyFill="1" applyAlignment="1">
      <alignment horizontal="center"/>
    </xf>
    <xf xfId="0" numFmtId="4" applyNumberFormat="1" borderId="62" applyBorder="1" fontId="1" applyFont="1" fillId="2" applyFill="1" applyAlignment="1">
      <alignment horizontal="center"/>
    </xf>
    <xf xfId="0" numFmtId="4" applyNumberFormat="1" borderId="4" applyBorder="1" fontId="1" applyFont="1" fillId="2" applyFill="1" applyAlignment="1">
      <alignment horizontal="center"/>
    </xf>
    <xf xfId="0" numFmtId="3" applyNumberFormat="1" borderId="13" applyBorder="1" fontId="2" applyFont="1" fillId="0" applyAlignment="1">
      <alignment horizontal="center"/>
    </xf>
    <xf xfId="0" numFmtId="3" applyNumberFormat="1" borderId="50" applyBorder="1" fontId="2" applyFont="1" fillId="0" applyAlignment="1">
      <alignment horizontal="center"/>
    </xf>
    <xf xfId="0" numFmtId="0" borderId="63" applyBorder="1" fontId="2" applyFont="1" fillId="0" applyAlignment="1">
      <alignment horizontal="left" wrapText="1"/>
    </xf>
    <xf xfId="0" numFmtId="0" borderId="25" applyBorder="1" fontId="2" applyFont="1" fillId="0" applyAlignment="1">
      <alignment horizontal="left"/>
    </xf>
    <xf xfId="0" numFmtId="4" applyNumberFormat="1" borderId="26" applyBorder="1" fontId="2" applyFont="1" fillId="0" applyAlignment="1">
      <alignment horizontal="center"/>
    </xf>
    <xf xfId="0" numFmtId="4" applyNumberFormat="1" borderId="25" applyBorder="1" fontId="2" applyFont="1" fillId="0" applyAlignment="1">
      <alignment horizontal="center"/>
    </xf>
    <xf xfId="0" numFmtId="0" borderId="16" applyBorder="1" fontId="4" applyFont="1" fillId="0" applyAlignment="1">
      <alignment horizontal="left" wrapText="1"/>
    </xf>
    <xf xfId="0" numFmtId="3" applyNumberFormat="1" borderId="1" applyBorder="1" fontId="2" applyFont="1" fillId="0" applyAlignment="1">
      <alignment horizontal="center"/>
    </xf>
    <xf xfId="0" numFmtId="0" borderId="64" applyBorder="1" fontId="2" applyFont="1" fillId="0" applyAlignment="1">
      <alignment horizontal="left" wrapText="1"/>
    </xf>
    <xf xfId="0" numFmtId="3" applyNumberFormat="1" borderId="64" applyBorder="1" fontId="2" applyFont="1" fillId="0" applyAlignment="1">
      <alignment horizontal="center"/>
    </xf>
    <xf xfId="0" numFmtId="0" borderId="1" applyBorder="1" fontId="4" applyFont="1" fillId="0" applyAlignment="1">
      <alignment horizontal="left" wrapText="1"/>
    </xf>
    <xf xfId="0" numFmtId="3" applyNumberFormat="1" borderId="17" applyBorder="1" fontId="7" applyFont="1" fillId="0" applyAlignment="1">
      <alignment horizontal="center"/>
    </xf>
    <xf xfId="0" numFmtId="3" applyNumberFormat="1" borderId="27" applyBorder="1" fontId="7" applyFont="1" fillId="0" applyAlignment="1">
      <alignment horizontal="center"/>
    </xf>
    <xf xfId="0" numFmtId="3" applyNumberFormat="1" borderId="18" applyBorder="1" fontId="7" applyFont="1" fillId="0" applyAlignment="1">
      <alignment horizontal="center"/>
    </xf>
    <xf xfId="0" numFmtId="3" applyNumberFormat="1" borderId="64" applyBorder="1" fontId="7" applyFont="1" fillId="0" applyAlignment="1">
      <alignment horizontal="center"/>
    </xf>
    <xf xfId="0" numFmtId="0" borderId="28" applyBorder="1" fontId="4" applyFont="1" fillId="0" applyAlignment="1">
      <alignment horizontal="left" wrapText="1"/>
    </xf>
    <xf xfId="0" numFmtId="0" borderId="65" applyBorder="1" fontId="2" applyFont="1" fillId="0" applyAlignment="1">
      <alignment horizontal="left" wrapText="1"/>
    </xf>
    <xf xfId="0" numFmtId="0" borderId="4" applyBorder="1" fontId="1" applyFont="1" fillId="2" applyFill="1" applyAlignment="1">
      <alignment horizontal="left"/>
    </xf>
    <xf xfId="0" numFmtId="3" applyNumberFormat="1" borderId="26" applyBorder="1" fontId="2" applyFont="1" fillId="0" applyAlignment="1">
      <alignment horizontal="center" wrapText="1"/>
    </xf>
    <xf xfId="0" numFmtId="0" borderId="66" applyBorder="1" fontId="2" applyFont="1" fillId="0" applyAlignment="1">
      <alignment horizontal="left" wrapText="1"/>
    </xf>
    <xf xfId="0" numFmtId="0" borderId="5" applyBorder="1" fontId="1" applyFont="1" fillId="2" applyFill="1" applyAlignment="1">
      <alignment horizontal="center"/>
    </xf>
    <xf xfId="0" numFmtId="3" applyNumberFormat="1" borderId="14" applyBorder="1" fontId="1" applyFont="1" fillId="2" applyFill="1" applyAlignment="1">
      <alignment horizontal="center"/>
    </xf>
    <xf xfId="0" numFmtId="3" applyNumberFormat="1" borderId="21" applyBorder="1" fontId="2" applyFont="1" fillId="0" applyAlignment="1">
      <alignment horizontal="center" wrapText="1"/>
    </xf>
    <xf xfId="0" numFmtId="3" applyNumberFormat="1" borderId="22" applyBorder="1" fontId="2" applyFont="1" fillId="0" applyAlignment="1">
      <alignment horizontal="center" wrapText="1"/>
    </xf>
    <xf xfId="0" numFmtId="3" applyNumberFormat="1" borderId="23" applyBorder="1" fontId="2" applyFont="1" fillId="0" applyAlignment="1">
      <alignment horizontal="center" wrapText="1"/>
    </xf>
    <xf xfId="0" numFmtId="3" applyNumberFormat="1" borderId="24" applyBorder="1" fontId="2" applyFont="1" fillId="0" applyAlignment="1">
      <alignment horizontal="center" wrapText="1"/>
    </xf>
    <xf xfId="0" numFmtId="4" applyNumberFormat="1" borderId="17" applyBorder="1" fontId="2" applyFont="1" fillId="0" applyAlignment="1">
      <alignment horizontal="right"/>
    </xf>
    <xf xfId="0" numFmtId="4" applyNumberFormat="1" borderId="16" applyBorder="1" fontId="2" applyFont="1" fillId="0" applyAlignment="1">
      <alignment horizontal="right"/>
    </xf>
    <xf xfId="0" numFmtId="4" applyNumberFormat="1" borderId="26" applyBorder="1" fontId="7" applyFont="1" fillId="0" applyAlignment="1">
      <alignment horizontal="right"/>
    </xf>
    <xf xfId="0" numFmtId="4" applyNumberFormat="1" borderId="25" applyBorder="1" fontId="7" applyFont="1" fillId="0" applyAlignment="1">
      <alignment horizontal="right"/>
    </xf>
    <xf xfId="0" numFmtId="3" applyNumberFormat="1" borderId="67" applyBorder="1" fontId="2" applyFont="1" fillId="0" applyAlignment="1">
      <alignment horizontal="center" wrapText="1"/>
    </xf>
    <xf xfId="0" numFmtId="3" applyNumberFormat="1" borderId="30" applyBorder="1" fontId="2" applyFont="1" fillId="0" applyAlignment="1">
      <alignment horizontal="center" wrapText="1"/>
    </xf>
    <xf xfId="0" numFmtId="3" applyNumberFormat="1" borderId="31" applyBorder="1" fontId="2" applyFont="1" fillId="0" applyAlignment="1">
      <alignment horizontal="center" wrapText="1"/>
    </xf>
    <xf xfId="0" numFmtId="3" applyNumberFormat="1" borderId="32" applyBorder="1" fontId="2" applyFont="1" fillId="0" applyAlignment="1">
      <alignment horizontal="center" wrapText="1"/>
    </xf>
    <xf xfId="0" numFmtId="3" applyNumberFormat="1" borderId="67" applyBorder="1" fontId="2" applyFont="1" fillId="0" applyAlignment="1">
      <alignment horizontal="center"/>
    </xf>
    <xf xfId="0" numFmtId="3" applyNumberFormat="1" borderId="53" applyBorder="1" fontId="2" applyFont="1" fillId="0" applyAlignment="1">
      <alignment horizontal="center" wrapText="1"/>
    </xf>
    <xf xfId="0" numFmtId="4" applyNumberFormat="1" borderId="34" applyBorder="1" fontId="2" applyFont="1" fillId="0" applyAlignment="1">
      <alignment horizontal="right"/>
    </xf>
    <xf xfId="0" numFmtId="4" applyNumberFormat="1" borderId="33" applyBorder="1" fontId="2" applyFont="1" fillId="0" applyAlignment="1">
      <alignment horizontal="right"/>
    </xf>
    <xf xfId="0" numFmtId="4" applyNumberFormat="1" borderId="45" applyBorder="1" fontId="7" applyFont="1" fillId="0" applyAlignment="1">
      <alignment horizontal="right"/>
    </xf>
    <xf xfId="0" numFmtId="4" applyNumberFormat="1" borderId="42" applyBorder="1" fontId="7" applyFont="1" fillId="0" applyAlignment="1">
      <alignment horizontal="right"/>
    </xf>
    <xf xfId="0" numFmtId="0" borderId="68" applyBorder="1" fontId="9" applyFont="1" fillId="0" applyAlignment="1">
      <alignment horizontal="center" vertical="top"/>
    </xf>
    <xf xfId="0" numFmtId="3" applyNumberFormat="1" borderId="69" applyBorder="1" fontId="9" applyFont="1" fillId="0" applyAlignment="1">
      <alignment horizontal="center"/>
    </xf>
    <xf xfId="0" numFmtId="3" applyNumberFormat="1" borderId="70" applyBorder="1" fontId="9" applyFont="1" fillId="0" applyAlignment="1">
      <alignment horizontal="center"/>
    </xf>
    <xf xfId="0" numFmtId="0" borderId="71" applyBorder="1" fontId="9" applyFont="1" fillId="0" applyAlignment="1">
      <alignment horizontal="center"/>
    </xf>
    <xf xfId="0" numFmtId="3" applyNumberFormat="1" borderId="1" applyBorder="1" fontId="9" applyFont="1" fillId="0" applyAlignment="1">
      <alignment horizontal="center"/>
    </xf>
    <xf xfId="0" numFmtId="3" applyNumberFormat="1" borderId="72" applyBorder="1" fontId="9" applyFont="1" fillId="0" applyAlignment="1">
      <alignment horizontal="center"/>
    </xf>
    <xf xfId="0" numFmtId="0" borderId="68" applyBorder="1" fontId="10" applyFont="1" fillId="0" applyAlignment="1">
      <alignment horizontal="left" vertical="top" wrapText="1"/>
    </xf>
    <xf xfId="0" numFmtId="3" applyNumberFormat="1" borderId="69" applyBorder="1" fontId="10" applyFont="1" fillId="0" applyAlignment="1">
      <alignment horizontal="left" wrapText="1"/>
    </xf>
    <xf xfId="0" numFmtId="0" borderId="69" applyBorder="1" fontId="10" applyFont="1" fillId="0" applyAlignment="1">
      <alignment horizontal="left" wrapText="1"/>
    </xf>
    <xf xfId="0" numFmtId="0" borderId="70" applyBorder="1" fontId="10" applyFont="1" fillId="0" applyAlignment="1">
      <alignment horizontal="left" wrapText="1"/>
    </xf>
    <xf xfId="0" numFmtId="0" borderId="71" applyBorder="1" fontId="10" applyFont="1" fillId="0" applyAlignment="1">
      <alignment horizontal="left" wrapText="1"/>
    </xf>
    <xf xfId="0" numFmtId="3" applyNumberFormat="1" borderId="1" applyBorder="1" fontId="10" applyFont="1" fillId="0" applyAlignment="1">
      <alignment horizontal="left" wrapText="1"/>
    </xf>
    <xf xfId="0" numFmtId="0" borderId="1" applyBorder="1" fontId="10" applyFont="1" fillId="0" applyAlignment="1">
      <alignment horizontal="left" wrapText="1"/>
    </xf>
    <xf xfId="0" numFmtId="0" borderId="72" applyBorder="1" fontId="10" applyFont="1" fillId="0" applyAlignment="1">
      <alignment horizontal="left" wrapText="1"/>
    </xf>
    <xf xfId="0" numFmtId="0" borderId="73" applyBorder="1" fontId="10" applyFont="1" fillId="0" applyAlignment="1">
      <alignment horizontal="left" wrapText="1"/>
    </xf>
    <xf xfId="0" numFmtId="3" applyNumberFormat="1" borderId="74" applyBorder="1" fontId="10" applyFont="1" fillId="0" applyAlignment="1">
      <alignment horizontal="left" wrapText="1"/>
    </xf>
    <xf xfId="0" numFmtId="0" borderId="74" applyBorder="1" fontId="10" applyFont="1" fillId="0" applyAlignment="1">
      <alignment horizontal="left" wrapText="1"/>
    </xf>
    <xf xfId="0" numFmtId="0" borderId="75" applyBorder="1" fontId="10" applyFont="1" fillId="0" applyAlignment="1">
      <alignment horizontal="left" wrapText="1"/>
    </xf>
    <xf xfId="0" numFmtId="0" borderId="1" applyBorder="1" fontId="1" applyFont="1" fillId="0" applyAlignment="1">
      <alignment horizontal="left"/>
    </xf>
    <xf xfId="0" numFmtId="0" borderId="1" applyBorder="1" fontId="2" applyFont="1" fillId="0" applyAlignment="1">
      <alignment horizontal="left" wrapText="1"/>
    </xf>
    <xf xfId="0" numFmtId="3" applyNumberFormat="1" borderId="1" applyBorder="1" fontId="2" applyFont="1" fillId="0" applyAlignment="1">
      <alignment horizontal="left" wrapText="1"/>
    </xf>
    <xf xfId="0" numFmtId="3" applyNumberFormat="1" borderId="1" applyBorder="1" fontId="2" applyFont="1" fillId="0" applyAlignment="1">
      <alignment horizontal="right"/>
    </xf>
    <xf xfId="0" numFmtId="0" borderId="1" applyBorder="1" fontId="2" applyFont="1" fillId="0" applyAlignment="1">
      <alignment horizontal="left"/>
    </xf>
    <xf xfId="0" numFmtId="3" applyNumberFormat="1" borderId="1" applyBorder="1" fontId="2" applyFont="1" fillId="0" applyAlignment="1">
      <alignment horizontal="left"/>
    </xf>
    <xf xfId="0" numFmtId="0" borderId="0" fontId="0" fillId="0" applyAlignment="1">
      <alignment horizontal="general"/>
    </xf>
    <xf xfId="0" numFmtId="3" applyNumberFormat="1" borderId="0" fontId="0" fillId="0" applyAlignment="1">
      <alignment horizontal="left"/>
    </xf>
    <xf xfId="0" numFmtId="0" borderId="0" fontId="0" fillId="0" applyAlignment="1">
      <alignment horizontal="left"/>
    </xf>
    <xf xfId="0" numFmtId="3" applyNumberFormat="1" borderId="0" fontId="0" fillId="0" applyAlignment="1">
      <alignment horizontal="general"/>
    </xf>
    <xf xfId="0" numFmtId="4" applyNumberFormat="1" borderId="0" fontId="0" fillId="0" applyAlignment="1">
      <alignment horizontal="general"/>
    </xf>
    <xf xfId="0" numFmtId="0" borderId="8" applyBorder="1" fontId="1" applyFont="1" fillId="2" applyFill="1" applyAlignment="1">
      <alignment horizontal="center"/>
    </xf>
    <xf xfId="0" numFmtId="0" borderId="19" applyBorder="1" fontId="2" applyFont="1" fillId="0" applyAlignment="1">
      <alignment horizontal="center"/>
    </xf>
    <xf xfId="0" numFmtId="0" borderId="54" applyBorder="1" fontId="2" applyFont="1" fillId="0" applyAlignment="1">
      <alignment horizontal="left"/>
    </xf>
    <xf xfId="0" numFmtId="0" borderId="31" applyBorder="1" fontId="2" applyFont="1" fillId="0" applyAlignment="1">
      <alignment horizontal="center"/>
    </xf>
    <xf xfId="0" numFmtId="0" borderId="76" applyBorder="1" fontId="2" applyFont="1" fillId="0" applyAlignment="1">
      <alignment horizontal="left" wrapText="1"/>
    </xf>
    <xf xfId="0" numFmtId="0" borderId="36" applyBorder="1" fontId="2" applyFont="1" fillId="0" applyAlignment="1">
      <alignment horizontal="center"/>
    </xf>
    <xf xfId="0" numFmtId="0" borderId="56" applyBorder="1" fontId="2" applyFont="1" fillId="0" applyAlignment="1">
      <alignment horizontal="left"/>
    </xf>
    <xf xfId="0" numFmtId="0" borderId="47" applyBorder="1" fontId="6" applyFont="1" fillId="2" applyFill="1" applyAlignment="1">
      <alignment horizontal="center"/>
    </xf>
    <xf xfId="0" numFmtId="0" borderId="49" applyBorder="1" fontId="1" applyFont="1" fillId="2" applyFill="1" applyAlignment="1">
      <alignment horizontal="center"/>
    </xf>
    <xf xfId="0" numFmtId="0" borderId="64" applyBorder="1" fontId="2" applyFont="1" fillId="0" applyAlignment="1">
      <alignment horizontal="left"/>
    </xf>
    <xf xfId="0" numFmtId="0" borderId="75" applyBorder="1" fontId="2" applyFont="1" fillId="0" applyAlignment="1">
      <alignment horizontal="left" wrapText="1"/>
    </xf>
    <xf xfId="0" numFmtId="0" borderId="19" applyBorder="1" fontId="2" applyFont="1" fillId="0" applyAlignment="1">
      <alignment horizontal="center" wrapText="1"/>
    </xf>
    <xf xfId="0" numFmtId="0" borderId="23" applyBorder="1" fontId="2" applyFont="1" fillId="0" applyAlignment="1">
      <alignment horizontal="center"/>
    </xf>
    <xf xfId="0" numFmtId="0" borderId="36" applyBorder="1" fontId="2" applyFont="1" fillId="0" applyAlignment="1">
      <alignment horizontal="center" wrapText="1"/>
    </xf>
    <xf xfId="0" numFmtId="0" borderId="60" applyBorder="1" fontId="1" applyFont="1" fillId="2" applyFill="1" applyAlignment="1">
      <alignment horizontal="center"/>
    </xf>
    <xf xfId="0" numFmtId="0" borderId="55" applyBorder="1" fontId="2" applyFont="1" fillId="0" applyAlignment="1">
      <alignment horizontal="left"/>
    </xf>
    <xf xfId="0" numFmtId="0" borderId="54" applyBorder="1" fontId="7" applyFont="1" fillId="0" applyAlignment="1">
      <alignment horizontal="center"/>
    </xf>
    <xf xfId="0" numFmtId="3" applyNumberFormat="1" borderId="27" applyBorder="1" fontId="2" applyFont="1" fillId="0" applyAlignment="1">
      <alignment horizontal="center" wrapText="1"/>
    </xf>
    <xf xfId="0" numFmtId="0" borderId="31" applyBorder="1" fontId="2" applyFont="1" fillId="0" applyAlignment="1">
      <alignment horizontal="center" wrapText="1"/>
    </xf>
    <xf xfId="0" numFmtId="0" borderId="69" applyBorder="1" fontId="9" applyFont="1" fillId="0" applyAlignment="1">
      <alignment horizontal="center"/>
    </xf>
    <xf xfId="0" numFmtId="0" borderId="1" applyBorder="1" fontId="9" applyFont="1" fillId="0" applyAlignment="1">
      <alignment horizontal="center"/>
    </xf>
    <xf xfId="0" numFmtId="3" applyNumberFormat="1" borderId="0" fontId="0" fillId="0" applyAlignment="1">
      <alignment horizontal="center"/>
    </xf>
    <xf xfId="0" numFmtId="4" applyNumberFormat="1" borderId="0" fontId="0" fillId="0" applyAlignment="1">
      <alignment horizontal="center"/>
    </xf>
    <xf xfId="0" numFmtId="0" borderId="0" fontId="0" fillId="0" applyAlignment="1">
      <alignment horizontal="center"/>
    </xf>
    <xf xfId="0" numFmtId="0" borderId="2" applyBorder="1" fontId="6" applyFont="1" fillId="2" applyFill="1" applyAlignment="1">
      <alignment horizontal="left"/>
    </xf>
    <xf xfId="0" numFmtId="0" borderId="47" applyBorder="1" fontId="1" applyFont="1" fillId="2" applyFill="1" applyAlignment="1">
      <alignment horizontal="center"/>
    </xf>
    <xf xfId="0" numFmtId="0" borderId="4" applyBorder="1" fontId="1" applyFont="1" fillId="2" applyFill="1" applyAlignment="1">
      <alignment horizontal="center"/>
    </xf>
    <xf xfId="0" numFmtId="4" applyNumberFormat="1" borderId="68" applyBorder="1" fontId="1" applyFont="1" fillId="0" applyAlignment="1">
      <alignment horizontal="center"/>
    </xf>
    <xf xfId="0" numFmtId="4" applyNumberFormat="1" borderId="69" applyBorder="1" fontId="1" applyFont="1" fillId="0" applyAlignment="1">
      <alignment horizontal="center"/>
    </xf>
    <xf xfId="0" numFmtId="4" applyNumberFormat="1" borderId="70" applyBorder="1" fontId="1" applyFont="1" fillId="0" applyAlignment="1">
      <alignment horizontal="center"/>
    </xf>
    <xf xfId="0" numFmtId="0" borderId="77" applyBorder="1" fontId="4" applyFont="1" fillId="0" applyAlignment="1">
      <alignment horizontal="left" wrapText="1"/>
    </xf>
    <xf xfId="0" numFmtId="0" borderId="78" applyBorder="1" fontId="2" applyFont="1" fillId="0" applyAlignment="1">
      <alignment horizontal="left" wrapText="1"/>
    </xf>
    <xf xfId="0" numFmtId="4" applyNumberFormat="1" borderId="13" applyBorder="1" fontId="2" applyFont="1" fillId="0" applyAlignment="1">
      <alignment horizontal="center"/>
    </xf>
    <xf xfId="0" numFmtId="4" applyNumberFormat="1" borderId="48" applyBorder="1" fontId="2" applyFont="1" fillId="0" applyAlignment="1">
      <alignment horizontal="center"/>
    </xf>
    <xf xfId="0" numFmtId="4" applyNumberFormat="1" borderId="69" applyBorder="1" fontId="2" applyFont="1" fillId="0" applyAlignment="1">
      <alignment horizontal="center"/>
    </xf>
    <xf xfId="0" numFmtId="4" applyNumberFormat="1" borderId="70" applyBorder="1" fontId="2" applyFont="1" fillId="0" applyAlignment="1">
      <alignment horizontal="center"/>
    </xf>
    <xf xfId="0" numFmtId="4" applyNumberFormat="1" borderId="1" applyBorder="1" fontId="2" applyFont="1" fillId="0" applyAlignment="1">
      <alignment horizontal="center"/>
    </xf>
    <xf xfId="0" numFmtId="0" borderId="79" applyBorder="1" fontId="4" applyFont="1" fillId="0" applyAlignment="1">
      <alignment horizontal="left" wrapText="1"/>
    </xf>
    <xf xfId="0" numFmtId="4" applyNumberFormat="1" borderId="18" applyBorder="1" fontId="2" applyFont="1" fillId="0" applyAlignment="1">
      <alignment horizontal="center"/>
    </xf>
    <xf xfId="0" numFmtId="4" applyNumberFormat="1" borderId="72" applyBorder="1" fontId="2" applyFont="1" fillId="0" applyAlignment="1">
      <alignment horizontal="center"/>
    </xf>
    <xf xfId="0" numFmtId="3" applyNumberFormat="1" borderId="17" applyBorder="1" fontId="2" applyFont="1" fillId="3" applyFill="1" applyAlignment="1">
      <alignment horizontal="center"/>
    </xf>
    <xf xfId="0" numFmtId="3" applyNumberFormat="1" borderId="18" applyBorder="1" fontId="2" applyFont="1" fillId="3" applyFill="1" applyAlignment="1">
      <alignment horizontal="center"/>
    </xf>
    <xf xfId="0" numFmtId="3" applyNumberFormat="1" borderId="20" applyBorder="1" fontId="7" applyFont="1" fillId="0" applyAlignment="1">
      <alignment horizontal="center"/>
    </xf>
    <xf xfId="0" numFmtId="4" applyNumberFormat="1" borderId="20" applyBorder="1" fontId="2" applyFont="1" fillId="0" applyAlignment="1">
      <alignment horizontal="center"/>
    </xf>
    <xf xfId="0" numFmtId="0" borderId="80" applyBorder="1" fontId="4" applyFont="1" fillId="0" applyAlignment="1">
      <alignment horizontal="left" wrapText="1"/>
    </xf>
    <xf xfId="0" numFmtId="4" applyNumberFormat="1" borderId="29" applyBorder="1" fontId="2" applyFont="1" fillId="0" applyAlignment="1">
      <alignment horizontal="center"/>
    </xf>
    <xf xfId="0" numFmtId="4" applyNumberFormat="1" borderId="30" applyBorder="1" fontId="2" applyFont="1" fillId="0" applyAlignment="1">
      <alignment horizontal="center"/>
    </xf>
    <xf xfId="0" numFmtId="0" borderId="81" applyBorder="1" fontId="2" applyFont="1" fillId="0" applyAlignment="1">
      <alignment horizontal="left" wrapText="1"/>
    </xf>
    <xf xfId="0" numFmtId="3" applyNumberFormat="1" borderId="13" applyBorder="1" fontId="2" applyFont="1" fillId="0" applyAlignment="1">
      <alignment horizontal="center" wrapText="1"/>
    </xf>
    <xf xfId="0" numFmtId="3" applyNumberFormat="1" borderId="48" applyBorder="1" fontId="2" applyFont="1" fillId="0" applyAlignment="1">
      <alignment horizontal="center" wrapText="1"/>
    </xf>
    <xf xfId="0" numFmtId="0" borderId="64" applyBorder="1" fontId="7" applyFont="1" fillId="0" applyAlignment="1">
      <alignment horizontal="left" wrapText="1"/>
    </xf>
    <xf xfId="0" numFmtId="0" borderId="79" applyBorder="1" fontId="2" applyFont="1" fillId="0" applyAlignment="1">
      <alignment horizontal="left" wrapText="1"/>
    </xf>
    <xf xfId="0" numFmtId="0" borderId="82" applyBorder="1" fontId="2" applyFont="1" fillId="0" applyAlignment="1">
      <alignment horizontal="left" wrapText="1"/>
    </xf>
    <xf xfId="0" numFmtId="4" applyNumberFormat="1" borderId="35" applyBorder="1" fontId="2" applyFont="1" fillId="0" applyAlignment="1">
      <alignment horizontal="center"/>
    </xf>
    <xf xfId="0" numFmtId="4" applyNumberFormat="1" borderId="74" applyBorder="1" fontId="2" applyFont="1" fillId="0" applyAlignment="1">
      <alignment horizontal="center"/>
    </xf>
    <xf xfId="0" numFmtId="4" applyNumberFormat="1" borderId="75" applyBorder="1" fontId="2" applyFont="1" fillId="0" applyAlignment="1">
      <alignment horizontal="center"/>
    </xf>
    <xf xfId="0" numFmtId="0" borderId="77" applyBorder="1" fontId="2" applyFont="1" fillId="0" applyAlignment="1">
      <alignment horizontal="left" wrapText="1"/>
    </xf>
    <xf xfId="0" numFmtId="3" applyNumberFormat="1" borderId="50" applyBorder="1" fontId="2" applyFont="1" fillId="0" applyAlignment="1">
      <alignment horizontal="center" wrapText="1"/>
    </xf>
    <xf xfId="0" numFmtId="0" borderId="78" applyBorder="1" fontId="7" applyFont="1" fillId="0" applyAlignment="1">
      <alignment horizontal="left" wrapText="1"/>
    </xf>
    <xf xfId="0" numFmtId="3" applyNumberFormat="1" borderId="17" applyBorder="1" fontId="2" applyFont="1" fillId="4" applyFill="1" applyAlignment="1">
      <alignment horizontal="center" wrapText="1"/>
    </xf>
    <xf xfId="0" numFmtId="0" borderId="83" applyBorder="1" fontId="2" applyFont="1" fillId="0" applyAlignment="1">
      <alignment horizontal="left" wrapText="1"/>
    </xf>
    <xf xfId="0" numFmtId="0" borderId="56" applyBorder="1" fontId="7" applyFont="1" fillId="0" applyAlignment="1">
      <alignment horizontal="left" wrapText="1"/>
    </xf>
    <xf xfId="0" numFmtId="3" applyNumberFormat="1" borderId="0" fontId="0" fillId="0" applyAlignment="1">
      <alignment horizontal="center"/>
    </xf>
    <xf xfId="0" numFmtId="4" applyNumberFormat="1" borderId="0" fontId="0" fillId="0" applyAlignment="1">
      <alignment horizontal="center"/>
    </xf>
    <xf xfId="0" numFmtId="0" borderId="0" fontId="0" fillId="0" applyAlignment="1">
      <alignment horizontal="center"/>
    </xf>
    <xf xfId="0" numFmtId="164" applyNumberFormat="1" borderId="0" fontId="0" fillId="0" applyAlignment="1">
      <alignment horizontal="center"/>
    </xf>
    <xf xfId="0" numFmtId="164" applyNumberFormat="1" borderId="2" applyBorder="1" fontId="6" applyFont="1" fillId="2" applyFill="1" applyAlignment="1">
      <alignment horizontal="center"/>
    </xf>
    <xf xfId="0" numFmtId="164" applyNumberFormat="1" borderId="3" applyBorder="1" fontId="6" applyFont="1" fillId="2" applyFill="1" applyAlignment="1">
      <alignment horizontal="center"/>
    </xf>
    <xf xfId="0" numFmtId="164" applyNumberFormat="1" borderId="84" applyBorder="1" fontId="1" applyFont="1" fillId="2" applyFill="1" applyAlignment="1">
      <alignment horizontal="center"/>
    </xf>
    <xf xfId="0" numFmtId="164" applyNumberFormat="1" borderId="85" applyBorder="1" fontId="1" applyFont="1" fillId="2" applyFill="1" applyAlignment="1">
      <alignment horizontal="center"/>
    </xf>
    <xf xfId="0" numFmtId="3" applyNumberFormat="1" borderId="85" applyBorder="1" fontId="1" applyFont="1" fillId="2" applyFill="1" applyAlignment="1">
      <alignment horizontal="center"/>
    </xf>
    <xf xfId="0" numFmtId="3" applyNumberFormat="1" borderId="86" applyBorder="1" fontId="1" applyFont="1" fillId="2" applyFill="1" applyAlignment="1">
      <alignment horizontal="center"/>
    </xf>
    <xf xfId="0" numFmtId="3" applyNumberFormat="1" borderId="87" applyBorder="1" fontId="1" applyFont="1" fillId="2" applyFill="1" applyAlignment="1">
      <alignment horizontal="center"/>
    </xf>
    <xf xfId="0" numFmtId="0" borderId="88" applyBorder="1" fontId="1" applyFont="1" fillId="2" applyFill="1" applyAlignment="1">
      <alignment horizontal="center"/>
    </xf>
    <xf xfId="0" numFmtId="3" applyNumberFormat="1" borderId="84" applyBorder="1" fontId="1" applyFont="1" fillId="2" applyFill="1" applyAlignment="1">
      <alignment horizontal="center"/>
    </xf>
    <xf xfId="0" numFmtId="3" applyNumberFormat="1" borderId="89" applyBorder="1" fontId="1" applyFont="1" fillId="2" applyFill="1" applyAlignment="1">
      <alignment horizontal="center"/>
    </xf>
    <xf xfId="0" numFmtId="4" applyNumberFormat="1" borderId="1" applyBorder="1" fontId="1" applyFont="1" fillId="0" applyAlignment="1">
      <alignment horizontal="center"/>
    </xf>
    <xf xfId="0" numFmtId="0" borderId="1" applyBorder="1" fontId="2" applyFont="1" fillId="0" applyAlignment="1">
      <alignment horizontal="center"/>
    </xf>
    <xf xfId="0" numFmtId="3" applyNumberFormat="1" borderId="18" applyBorder="1" fontId="4" applyFont="1" fillId="0" applyAlignment="1">
      <alignment horizontal="center"/>
    </xf>
    <xf xfId="0" numFmtId="3" applyNumberFormat="1" borderId="35" applyBorder="1" fontId="4" applyFont="1" fillId="0" applyAlignment="1">
      <alignment horizontal="center"/>
    </xf>
    <xf xfId="0" numFmtId="3" applyNumberFormat="1" borderId="48" applyBorder="1" fontId="4" applyFont="1" fillId="0" applyAlignment="1">
      <alignment horizontal="center"/>
    </xf>
    <xf xfId="0" numFmtId="3" applyNumberFormat="1" borderId="30" applyBorder="1" fontId="4" applyFont="1" fillId="0" applyAlignment="1">
      <alignment horizontal="center" wrapText="1"/>
    </xf>
    <xf xfId="0" numFmtId="3" applyNumberFormat="1" borderId="30" applyBorder="1" fontId="4" applyFont="1" fillId="0" applyAlignment="1">
      <alignment horizontal="center"/>
    </xf>
    <xf xfId="0" numFmtId="164" applyNumberFormat="1" borderId="1" applyBorder="1" fontId="2" applyFont="1" fillId="0" quotePrefix="1" applyAlignment="1">
      <alignment horizontal="center"/>
    </xf>
    <xf xfId="0" numFmtId="3" applyNumberFormat="1" borderId="1" applyBorder="1" fontId="2" applyFont="1" fillId="0" quotePrefix="1" applyAlignment="1">
      <alignment horizontal="center"/>
    </xf>
    <xf xfId="0" numFmtId="0" borderId="0" fontId="0" fillId="0" quotePrefix="1" applyAlignment="1">
      <alignment horizontal="general"/>
    </xf>
    <xf xfId="0" numFmtId="164" applyNumberFormat="1" borderId="1" applyBorder="1" fontId="2" applyFont="1" fillId="0" applyAlignment="1">
      <alignment horizontal="center"/>
    </xf>
    <xf xfId="0" numFmtId="0" borderId="1" applyBorder="1" fontId="2" applyFont="1" fillId="0" quotePrefix="1" applyAlignment="1">
      <alignment horizontal="left" wrapText="1"/>
    </xf>
    <xf xfId="0" numFmtId="4" applyNumberFormat="1" borderId="1" applyBorder="1" fontId="2" applyFont="1" fillId="0" quotePrefix="1" applyAlignment="1">
      <alignment horizontal="center"/>
    </xf>
    <xf xfId="0" numFmtId="0" borderId="1" applyBorder="1" fontId="7" applyFont="1" fillId="0" applyAlignment="1">
      <alignment horizontal="left"/>
    </xf>
    <xf xfId="0" numFmtId="164" applyNumberFormat="1" borderId="1" applyBorder="1" fontId="7" applyFont="1" fillId="0" quotePrefix="1" applyAlignment="1">
      <alignment horizontal="center"/>
    </xf>
    <xf xfId="0" numFmtId="3" applyNumberFormat="1" borderId="1" applyBorder="1" fontId="7" applyFont="1" fillId="0" applyAlignment="1">
      <alignment horizontal="center"/>
    </xf>
    <xf xfId="0" numFmtId="0" borderId="1" applyBorder="1" fontId="7" applyFont="1" fillId="0" quotePrefix="1" applyAlignment="1">
      <alignment horizontal="left"/>
    </xf>
    <xf xfId="0" numFmtId="164" applyNumberFormat="1" borderId="1" applyBorder="1" fontId="7" applyFont="1" fillId="0" applyAlignment="1">
      <alignment horizontal="center"/>
    </xf>
    <xf xfId="0" numFmtId="0" borderId="1" applyBorder="1" fontId="7" applyFont="1" fillId="0" applyAlignment="1">
      <alignment horizontal="left" wrapText="1"/>
    </xf>
    <xf xfId="0" numFmtId="4" applyNumberFormat="1" borderId="1" applyBorder="1" fontId="7" applyFont="1" fillId="0" applyAlignment="1">
      <alignment horizontal="center"/>
    </xf>
    <xf xfId="0" numFmtId="164" applyNumberFormat="1" borderId="0" fontId="0" fillId="0" applyAlignment="1">
      <alignment horizontal="center"/>
    </xf>
    <xf xfId="0" numFmtId="0" borderId="90" applyBorder="1" fontId="6" applyFont="1" fillId="2" applyFill="1" applyAlignment="1">
      <alignment horizontal="center"/>
    </xf>
    <xf xfId="0" numFmtId="0" borderId="77" applyBorder="1" fontId="2" applyFont="1" fillId="0" applyAlignment="1">
      <alignment horizontal="left"/>
    </xf>
    <xf xfId="0" numFmtId="0" borderId="55" applyBorder="1" fontId="8" applyFont="1" fillId="0" applyAlignment="1">
      <alignment horizontal="left" wrapText="1"/>
    </xf>
    <xf xfId="0" numFmtId="0" borderId="66" applyBorder="1" fontId="7" applyFont="1" fillId="0" applyAlignment="1">
      <alignment horizontal="left" wrapText="1"/>
    </xf>
    <xf xfId="0" numFmtId="0" borderId="79" applyBorder="1" fontId="2" applyFont="1" fillId="0" applyAlignment="1">
      <alignment horizontal="left"/>
    </xf>
    <xf xfId="0" numFmtId="0" borderId="80" applyBorder="1" fontId="2" applyFont="1" fillId="0" applyAlignment="1">
      <alignment horizontal="left"/>
    </xf>
    <xf xfId="0" numFmtId="0" borderId="82" applyBorder="1" fontId="2" applyFont="1" fillId="0" applyAlignment="1">
      <alignment horizontal="left"/>
    </xf>
    <xf xfId="0" numFmtId="0" borderId="74" applyBorder="1" fontId="2" applyFont="1" fillId="0" applyAlignment="1">
      <alignment horizontal="left" wrapText="1"/>
    </xf>
    <xf xfId="0" numFmtId="0" borderId="65" applyBorder="1" fontId="7" applyFont="1" fillId="0" applyAlignment="1">
      <alignment horizontal="left" wrapText="1"/>
    </xf>
    <xf xfId="0" numFmtId="3" applyNumberFormat="1" borderId="17" applyBorder="1" fontId="2" applyFont="1" fillId="4" applyFill="1" applyAlignment="1">
      <alignment horizontal="center"/>
    </xf>
    <xf xfId="0" numFmtId="0" borderId="54" applyBorder="1" fontId="8" applyFont="1" fillId="0" applyAlignment="1">
      <alignment horizontal="left" wrapText="1"/>
    </xf>
    <xf xfId="0" numFmtId="0" borderId="83" applyBorder="1" fontId="7" applyFont="1" fillId="0" applyAlignment="1">
      <alignment horizontal="left" wrapText="1"/>
    </xf>
    <xf xfId="0" numFmtId="3" applyNumberFormat="1" borderId="13" applyBorder="1" fontId="2" applyFont="1" fillId="4" applyFill="1" applyAlignment="1">
      <alignment horizontal="center"/>
    </xf>
    <xf xfId="0" numFmtId="0" borderId="63" applyBorder="1" fontId="7" applyFont="1" fillId="0" applyAlignment="1">
      <alignment horizontal="left" wrapText="1"/>
    </xf>
    <xf xfId="0" numFmtId="0" borderId="76" applyBorder="1" fontId="7" applyFont="1" fillId="0" applyAlignment="1">
      <alignment horizontal="left" wrapText="1"/>
    </xf>
    <xf xfId="0" numFmtId="3" applyNumberFormat="1" borderId="45" applyBorder="1" fontId="2" applyFont="1" fillId="0" applyAlignment="1">
      <alignment horizontal="center"/>
    </xf>
    <xf xfId="0" numFmtId="3" applyNumberFormat="1" borderId="91" applyBorder="1" fontId="2" applyFont="1" fillId="4" applyFill="1" applyAlignment="1">
      <alignment horizontal="center"/>
    </xf>
  </cellXfs>
  <cellStyles count="1">
    <cellStyle xfId="0" builtinId="0" name="Normal"/>
  </cellStyles>
  <dxfs count="0"/>
  <tableStyles count="0" defaultTableStyle="TableStyleMedium9" defaultPivotStyle="PivotStyleLight16"/>
  <extLst>
    <ext uri="{EB79DEF2-80B8-43e5-95BD-54CBDDF9020C}">
      <x14ac:slicerStyles xmlns:x14="http://schemas.microsoft.com/office/spreadsheetml/2009/9/main" defaultSlicerStyle="SlicerStyleLight1"/>
    </ext>
  </extLst>
</styleSheet>
</file>

<file path=xl/_rels/workbook.xml.rels><?xml version="1.0" encoding="UTF-8" standalone="yes"?><Relationships xmlns="http://schemas.openxmlformats.org/package/2006/relationships"><Relationship Target="worksheets/sheet1.xml" Type="http://schemas.openxmlformats.org/officeDocument/2006/relationships/worksheet" Id="rId1"/><Relationship Target="worksheets/sheet2.xml" Type="http://schemas.openxmlformats.org/officeDocument/2006/relationships/worksheet" Id="rId2"/><Relationship Target="worksheets/sheet3.xml" Type="http://schemas.openxmlformats.org/officeDocument/2006/relationships/worksheet" Id="rId3"/><Relationship Target="worksheets/sheet4.xml" Type="http://schemas.openxmlformats.org/officeDocument/2006/relationships/worksheet" Id="rId4"/><Relationship Target="worksheets/sheet5.xml" Type="http://schemas.openxmlformats.org/officeDocument/2006/relationships/worksheet" Id="rId5"/><Relationship Target="worksheets/sheet6.xml" Type="http://schemas.openxmlformats.org/officeDocument/2006/relationships/worksheet" Id="rId6"/><Relationship Target="sharedStrings.xml" Type="http://schemas.openxmlformats.org/officeDocument/2006/relationships/sharedStrings" Id="rId7"/><Relationship Target="styles.xml" Type="http://schemas.openxmlformats.org/officeDocument/2006/relationships/styles" Id="rId8"/><Relationship Target="theme/theme1.xml" Type="http://schemas.openxmlformats.org/officeDocument/2006/relationships/theme" Id="rId9"/></Relationships>
</file>

<file path=xl/theme/theme1.xml><?xml version="1.0" encoding="utf-8"?>
<a:theme xmlns:a="http://schemas.openxmlformats.org/drawingml/2006/main" name="Office Theme">
  <a:themeElements>
    <a:clrScheme name="Office">
      <a:dk1>
        <a:sysClr lastClr="000000" val="windowText"/>
      </a:dk1>
      <a:lt1>
        <a:sysClr lastClr="FFFFFF" val="window"/>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0000FF"/>
      </a:hlink>
      <a:folHlink>
        <a:srgbClr val="800080"/>
      </a:folHlink>
    </a:clrScheme>
    <a:fontScheme name="Office">
      <a:majorFont>
        <a:latin typeface="Cambria"/>
        <a:ea typeface=""/>
        <a:cs typeface=""/>
        <a:font typeface="ＭＳ Ｐゴシック" script="Jpan"/>
        <a:font typeface="맑은 고딕" script="Hang"/>
        <a:font typeface="宋体" script="Hans"/>
        <a:font typeface="新細明體" script="Hant"/>
        <a:font typeface="Times New Roman" script="Arab"/>
        <a:font typeface="Times New Roman" script="Hebr"/>
        <a:font typeface="Tahoma" script="Thai"/>
        <a:font typeface="Nyala" script="Ethi"/>
        <a:font typeface="Vrinda" script="Beng"/>
        <a:font typeface="Shruti" script="Gujr"/>
        <a:font typeface="MoolBoran"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Times New Roman" script="Viet"/>
        <a:font typeface="Microsoft Uighur" script="Uigh"/>
        <a:font typeface="Sylfaen" script="Geor"/>
      </a:majorFont>
      <a:minorFont>
        <a:latin typeface="Calibri"/>
        <a:ea typeface=""/>
        <a:cs typeface=""/>
        <a:font typeface="ＭＳ Ｐゴシック" script="Jpan"/>
        <a:font typeface="맑은 고딕" script="Hang"/>
        <a:font typeface="宋体" script="Hans"/>
        <a:font typeface="新細明體" script="Hant"/>
        <a:font typeface="Arial" script="Arab"/>
        <a:font typeface="Arial" script="Hebr"/>
        <a:font typeface="Tahoma" script="Thai"/>
        <a:font typeface="Nyala" script="Ethi"/>
        <a:font typeface="Vrinda" script="Beng"/>
        <a:font typeface="Shruti" script="Gujr"/>
        <a:font typeface="DaunPenh"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Arial" script="Viet"/>
        <a:font typeface="Microsoft Uighur" script="Uigh"/>
        <a:font typeface="Sylfaen" script="Geo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scaled="1" ang="16200000"/>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scaled="1" ang="16200000"/>
        </a:gradFill>
      </a:fillStyleLst>
      <a:lnStyleLst>
        <a:ln algn="ctr" cmpd="sng" cap="flat" w="9525">
          <a:solidFill>
            <a:schemeClr val="phClr">
              <a:shade val="9500"/>
              <a:satMod val="105000"/>
            </a:schemeClr>
          </a:solidFill>
          <a:prstDash val="solid"/>
        </a:ln>
        <a:ln algn="ctr" cmpd="sng" cap="flat" w="25400">
          <a:solidFill>
            <a:schemeClr val="phClr"/>
          </a:solidFill>
          <a:prstDash val="solid"/>
        </a:ln>
        <a:ln algn="ctr" cmpd="sng" cap="flat" w="38100">
          <a:solidFill>
            <a:schemeClr val="phClr"/>
          </a:solidFill>
          <a:prstDash val="solid"/>
        </a:ln>
      </a:lnStyleLst>
      <a:effectStyleLst>
        <a:effectStyle>
          <a:effectLst>
            <a:outerShdw dir="5400000" rotWithShape="0" dist="23000" blurRad="40000">
              <a:srgbClr val="000000">
                <a:alpha val="38000"/>
              </a:srgbClr>
            </a:outerShdw>
          </a:effectLst>
        </a:effectStyle>
        <a:effectStyle>
          <a:effectLst>
            <a:outerShdw dir="5400000" rotWithShape="0" dist="23000" blurRad="40000">
              <a:srgbClr val="000000">
                <a:alpha val="35000"/>
              </a:srgbClr>
            </a:outerShdw>
          </a:effectLst>
        </a:effectStyle>
        <a:effectStyle>
          <a:effectLst>
            <a:outerShdw dir="5400000" rotWithShape="0" dist="23000" blurRad="40000">
              <a:srgbClr val="000000">
                <a:alpha val="35000"/>
              </a:srgbClr>
            </a:outerShdw>
          </a:effectLst>
          <a:scene3d>
            <a:camera prst="orthographicFront">
              <a:rot rev="0" lon="0" lat="0"/>
            </a:camera>
            <a:lightRig dir="t" rig="threePt">
              <a:rot rev="1200000" lon="0" lat="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AB22"/>
  <sheetViews>
    <sheetView workbookViewId="0"/>
  </sheetViews>
  <sheetFormatPr defaultRowHeight="15" x14ac:dyDescent="0.25"/>
  <cols>
    <col min="1" max="1" style="189" width="26.862142857142857" customWidth="1" bestFit="1"/>
    <col min="2" max="2" style="192" width="9.862142857142858" customWidth="1" bestFit="1"/>
    <col min="3" max="3" style="192" width="10.290714285714287" customWidth="1" bestFit="1"/>
    <col min="4" max="4" style="192" width="10.719285714285713" customWidth="1" bestFit="1"/>
    <col min="5" max="5" style="192" width="10.290714285714287" customWidth="1" bestFit="1"/>
    <col min="6" max="6" style="192" width="10.290714285714287" customWidth="1" bestFit="1"/>
    <col min="7" max="7" style="192" width="11.290714285714287" customWidth="1" bestFit="1"/>
    <col min="8" max="8" style="189" width="48.005" customWidth="1" bestFit="1"/>
    <col min="9" max="9" style="192" width="11.862142857142858" customWidth="1" bestFit="1"/>
    <col min="10" max="10" style="192" width="11.862142857142858" customWidth="1" bestFit="1"/>
    <col min="11" max="11" style="192" width="11.862142857142858" customWidth="1" bestFit="1"/>
    <col min="12" max="12" style="192" width="11.862142857142858" customWidth="1" bestFit="1"/>
    <col min="13" max="13" style="192" width="11.862142857142858" customWidth="1" bestFit="1"/>
    <col min="14" max="14" style="192" width="11.862142857142858" customWidth="1" bestFit="1"/>
    <col min="15" max="15" style="189" width="48.29071428571429" customWidth="1" bestFit="1"/>
    <col min="16" max="16" style="192" width="11.862142857142858" customWidth="1" bestFit="1"/>
    <col min="17" max="17" style="192" width="11.862142857142858" customWidth="1" bestFit="1"/>
    <col min="18" max="18" style="192" width="11.862142857142858" customWidth="1" bestFit="1"/>
    <col min="19" max="19" style="192" width="11.862142857142858" customWidth="1" bestFit="1"/>
    <col min="20" max="20" style="192" width="11.862142857142858" customWidth="1" bestFit="1"/>
    <col min="21" max="21" style="192" width="11.862142857142858" customWidth="1" bestFit="1"/>
    <col min="22" max="22" style="189" width="43.86214285714286" customWidth="1" bestFit="1"/>
    <col min="23" max="23" style="189" width="11.862142857142858" customWidth="1" bestFit="1"/>
    <col min="24" max="24" style="193" width="22.290714285714284" customWidth="1" bestFit="1"/>
    <col min="25" max="25" style="193" width="20.576428571428572" customWidth="1" bestFit="1"/>
    <col min="26" max="26" style="189" width="11.862142857142858" customWidth="1" bestFit="1"/>
    <col min="27" max="27" style="193" width="22.290714285714284" customWidth="1" bestFit="1"/>
    <col min="28" max="28" style="193" width="20.576428571428572" customWidth="1" bestFit="1"/>
  </cols>
  <sheetData>
    <row x14ac:dyDescent="0.25" r="1" customHeight="1" ht="16.5">
      <c r="A1" s="14"/>
      <c r="B1" s="13"/>
      <c r="C1" s="13"/>
      <c r="D1" s="13"/>
      <c r="E1" s="13"/>
      <c r="F1" s="13"/>
      <c r="G1" s="13"/>
      <c r="H1" s="14"/>
      <c r="I1" s="13"/>
      <c r="J1" s="13"/>
      <c r="K1" s="13"/>
      <c r="L1" s="13"/>
      <c r="M1" s="13"/>
      <c r="N1" s="13"/>
      <c r="O1" s="14"/>
      <c r="P1" s="13"/>
      <c r="Q1" s="13"/>
      <c r="R1" s="13"/>
      <c r="S1" s="13"/>
      <c r="T1" s="13"/>
      <c r="U1" s="13"/>
      <c r="V1" s="14"/>
      <c r="W1" s="14"/>
      <c r="X1" s="15"/>
      <c r="Y1" s="15"/>
      <c r="Z1" s="14"/>
      <c r="AA1" s="15"/>
      <c r="AB1" s="15"/>
    </row>
    <row x14ac:dyDescent="0.25" r="2" customHeight="1" ht="25.5">
      <c r="A2" s="14"/>
      <c r="B2" s="19" t="s">
        <v>15</v>
      </c>
      <c r="C2" s="20"/>
      <c r="D2" s="20"/>
      <c r="E2" s="20"/>
      <c r="F2" s="20"/>
      <c r="G2" s="20"/>
      <c r="H2" s="21"/>
      <c r="I2" s="19" t="s">
        <v>16</v>
      </c>
      <c r="J2" s="20"/>
      <c r="K2" s="20"/>
      <c r="L2" s="20"/>
      <c r="M2" s="20"/>
      <c r="N2" s="20"/>
      <c r="O2" s="21"/>
      <c r="P2" s="84" t="s">
        <v>17</v>
      </c>
      <c r="Q2" s="85"/>
      <c r="R2" s="85"/>
      <c r="S2" s="85"/>
      <c r="T2" s="85"/>
      <c r="U2" s="85"/>
      <c r="V2" s="291"/>
      <c r="W2" s="14"/>
      <c r="X2" s="15"/>
      <c r="Y2" s="15"/>
      <c r="Z2" s="14"/>
      <c r="AA2" s="15"/>
      <c r="AB2" s="15"/>
    </row>
    <row x14ac:dyDescent="0.25" r="3" customHeight="1" ht="25.5">
      <c r="A3" s="112" t="s">
        <v>20</v>
      </c>
      <c r="B3" s="113" t="s">
        <v>198</v>
      </c>
      <c r="C3" s="114" t="s">
        <v>22</v>
      </c>
      <c r="D3" s="114" t="s">
        <v>200</v>
      </c>
      <c r="E3" s="114" t="s">
        <v>24</v>
      </c>
      <c r="F3" s="115" t="s">
        <v>25</v>
      </c>
      <c r="G3" s="116" t="s">
        <v>201</v>
      </c>
      <c r="H3" s="117" t="s">
        <v>203</v>
      </c>
      <c r="I3" s="113" t="s">
        <v>198</v>
      </c>
      <c r="J3" s="114" t="s">
        <v>22</v>
      </c>
      <c r="K3" s="114" t="s">
        <v>200</v>
      </c>
      <c r="L3" s="114" t="s">
        <v>24</v>
      </c>
      <c r="M3" s="115" t="s">
        <v>25</v>
      </c>
      <c r="N3" s="116" t="s">
        <v>201</v>
      </c>
      <c r="O3" s="117" t="s">
        <v>203</v>
      </c>
      <c r="P3" s="113" t="s">
        <v>198</v>
      </c>
      <c r="Q3" s="114" t="s">
        <v>22</v>
      </c>
      <c r="R3" s="114" t="s">
        <v>200</v>
      </c>
      <c r="S3" s="114" t="s">
        <v>24</v>
      </c>
      <c r="T3" s="114" t="s">
        <v>25</v>
      </c>
      <c r="U3" s="116" t="s">
        <v>201</v>
      </c>
      <c r="V3" s="117" t="s">
        <v>203</v>
      </c>
      <c r="W3" s="14"/>
      <c r="X3" s="270" t="s">
        <v>206</v>
      </c>
      <c r="Y3" s="270" t="s">
        <v>208</v>
      </c>
      <c r="Z3" s="271"/>
      <c r="AA3" s="270" t="s">
        <v>210</v>
      </c>
      <c r="AB3" s="270" t="s">
        <v>212</v>
      </c>
    </row>
    <row x14ac:dyDescent="0.25" r="4" customHeight="1" ht="33">
      <c r="A4" s="128" t="s">
        <v>29</v>
      </c>
      <c r="B4" s="103">
        <v>0</v>
      </c>
      <c r="C4" s="46">
        <v>2</v>
      </c>
      <c r="D4" s="148">
        <v>0</v>
      </c>
      <c r="E4" s="46">
        <v>1</v>
      </c>
      <c r="F4" s="47">
        <v>0</v>
      </c>
      <c r="G4" s="150">
        <v>0</v>
      </c>
      <c r="H4" s="104"/>
      <c r="I4" s="103">
        <v>0</v>
      </c>
      <c r="J4" s="46">
        <v>1</v>
      </c>
      <c r="K4" s="46">
        <v>0</v>
      </c>
      <c r="L4" s="46">
        <v>1</v>
      </c>
      <c r="M4" s="47">
        <v>0</v>
      </c>
      <c r="N4" s="48">
        <v>0</v>
      </c>
      <c r="O4" s="128"/>
      <c r="P4" s="45">
        <v>0</v>
      </c>
      <c r="Q4" s="46">
        <v>4</v>
      </c>
      <c r="R4" s="46">
        <v>0</v>
      </c>
      <c r="S4" s="46">
        <v>1</v>
      </c>
      <c r="T4" s="47">
        <v>2</v>
      </c>
      <c r="U4" s="47">
        <v>2</v>
      </c>
      <c r="V4" s="50" t="s">
        <v>231</v>
      </c>
      <c r="W4" s="14"/>
      <c r="X4" s="230">
        <f>AVERAGE(P4,I4,B4)</f>
      </c>
      <c r="Y4" s="230"/>
      <c r="Z4" s="230"/>
      <c r="AA4" s="230">
        <f>AVERAGE(U4,N4,G4)</f>
      </c>
      <c r="AB4" s="230"/>
    </row>
    <row x14ac:dyDescent="0.25" r="5" customHeight="1" ht="27">
      <c r="A5" s="38" t="s">
        <v>32</v>
      </c>
      <c r="B5" s="39">
        <v>0</v>
      </c>
      <c r="C5" s="40">
        <v>4</v>
      </c>
      <c r="D5" s="40">
        <v>0</v>
      </c>
      <c r="E5" s="40">
        <v>1</v>
      </c>
      <c r="F5" s="42">
        <v>0</v>
      </c>
      <c r="G5" s="55">
        <v>0</v>
      </c>
      <c r="H5" s="102"/>
      <c r="I5" s="39">
        <v>0</v>
      </c>
      <c r="J5" s="40">
        <v>5</v>
      </c>
      <c r="K5" s="40">
        <v>0</v>
      </c>
      <c r="L5" s="40">
        <v>1</v>
      </c>
      <c r="M5" s="40">
        <v>1</v>
      </c>
      <c r="N5" s="55">
        <v>1</v>
      </c>
      <c r="O5" s="56" t="s">
        <v>215</v>
      </c>
      <c r="P5" s="57">
        <v>0</v>
      </c>
      <c r="Q5" s="40">
        <v>1</v>
      </c>
      <c r="R5" s="40">
        <v>0</v>
      </c>
      <c r="S5" s="272">
        <v>0</v>
      </c>
      <c r="T5" s="42">
        <v>0</v>
      </c>
      <c r="U5" s="42">
        <v>0</v>
      </c>
      <c r="V5" s="56" t="s">
        <v>277</v>
      </c>
      <c r="W5" s="14"/>
      <c r="X5" s="230">
        <f>AVERAGE(P5,I5,B5)</f>
      </c>
      <c r="Y5" s="230"/>
      <c r="Z5" s="230"/>
      <c r="AA5" s="230">
        <f>AVERAGE(U5,N5,G5)</f>
      </c>
      <c r="AB5" s="230"/>
    </row>
    <row x14ac:dyDescent="0.25" r="6" customHeight="1" ht="17.25">
      <c r="A6" s="58" t="s">
        <v>34</v>
      </c>
      <c r="B6" s="59">
        <v>0</v>
      </c>
      <c r="C6" s="60">
        <v>4</v>
      </c>
      <c r="D6" s="60">
        <v>0</v>
      </c>
      <c r="E6" s="60">
        <v>1</v>
      </c>
      <c r="F6" s="61">
        <v>0</v>
      </c>
      <c r="G6" s="62">
        <v>0</v>
      </c>
      <c r="H6" s="198"/>
      <c r="I6" s="39">
        <v>0</v>
      </c>
      <c r="J6" s="40">
        <v>5</v>
      </c>
      <c r="K6" s="40">
        <v>0</v>
      </c>
      <c r="L6" s="40">
        <v>1</v>
      </c>
      <c r="M6" s="40">
        <v>1</v>
      </c>
      <c r="N6" s="55">
        <v>1</v>
      </c>
      <c r="O6" s="56" t="s">
        <v>215</v>
      </c>
      <c r="P6" s="57">
        <v>0</v>
      </c>
      <c r="Q6" s="40">
        <v>3</v>
      </c>
      <c r="R6" s="60">
        <v>0</v>
      </c>
      <c r="S6" s="60">
        <v>1</v>
      </c>
      <c r="T6" s="61">
        <v>0</v>
      </c>
      <c r="U6" s="61">
        <v>0</v>
      </c>
      <c r="V6" s="56"/>
      <c r="W6" s="14"/>
      <c r="X6" s="232">
        <f>AVERAGE(P6,I6,B6)</f>
      </c>
      <c r="Y6" s="232">
        <f>AVERAGE(X4:X7)</f>
      </c>
      <c r="Z6" s="230"/>
      <c r="AA6" s="232">
        <f>AVERAGE(U6,N6,G6)</f>
      </c>
      <c r="AB6" s="232">
        <f>AVERAGE(AA4:AA7)</f>
      </c>
    </row>
    <row x14ac:dyDescent="0.25" r="7" customHeight="1" ht="33.75">
      <c r="A7" s="64" t="s">
        <v>37</v>
      </c>
      <c r="B7" s="59">
        <v>0</v>
      </c>
      <c r="C7" s="60">
        <v>6</v>
      </c>
      <c r="D7" s="60">
        <v>0</v>
      </c>
      <c r="E7" s="60">
        <v>1</v>
      </c>
      <c r="F7" s="61">
        <v>2</v>
      </c>
      <c r="G7" s="62">
        <v>2</v>
      </c>
      <c r="H7" s="305" t="s">
        <v>231</v>
      </c>
      <c r="I7" s="306">
        <v>0</v>
      </c>
      <c r="J7" s="71">
        <v>6</v>
      </c>
      <c r="K7" s="71">
        <v>0</v>
      </c>
      <c r="L7" s="71">
        <v>1</v>
      </c>
      <c r="M7" s="72">
        <v>2</v>
      </c>
      <c r="N7" s="73">
        <v>2</v>
      </c>
      <c r="O7" s="74" t="s">
        <v>231</v>
      </c>
      <c r="P7" s="75">
        <v>0</v>
      </c>
      <c r="Q7" s="76">
        <v>6</v>
      </c>
      <c r="R7" s="60">
        <v>0</v>
      </c>
      <c r="S7" s="60">
        <v>1</v>
      </c>
      <c r="T7" s="61">
        <v>2</v>
      </c>
      <c r="U7" s="61">
        <v>2</v>
      </c>
      <c r="V7" s="77" t="s">
        <v>231</v>
      </c>
      <c r="W7" s="14"/>
      <c r="X7" s="230">
        <f>AVERAGE(P7,I7,B7)</f>
      </c>
      <c r="Y7" s="230"/>
      <c r="Z7" s="230"/>
      <c r="AA7" s="230">
        <f>AVERAGE(U7,N7,G7)</f>
      </c>
      <c r="AB7" s="230"/>
    </row>
    <row x14ac:dyDescent="0.25" r="8" customHeight="1" ht="153">
      <c r="A8" s="295" t="s">
        <v>38</v>
      </c>
      <c r="B8" s="125">
        <v>0</v>
      </c>
      <c r="C8" s="92">
        <v>6</v>
      </c>
      <c r="D8" s="92">
        <v>0</v>
      </c>
      <c r="E8" s="92">
        <v>1</v>
      </c>
      <c r="F8" s="92">
        <v>4</v>
      </c>
      <c r="G8" s="93">
        <v>4</v>
      </c>
      <c r="H8" s="94" t="s">
        <v>278</v>
      </c>
      <c r="I8" s="91">
        <v>0</v>
      </c>
      <c r="J8" s="92">
        <v>3</v>
      </c>
      <c r="K8" s="92">
        <v>0</v>
      </c>
      <c r="L8" s="92">
        <v>1</v>
      </c>
      <c r="M8" s="92">
        <v>1</v>
      </c>
      <c r="N8" s="93">
        <v>1</v>
      </c>
      <c r="O8" s="94" t="s">
        <v>215</v>
      </c>
      <c r="P8" s="91">
        <v>1</v>
      </c>
      <c r="Q8" s="92">
        <v>4</v>
      </c>
      <c r="R8" s="92">
        <v>0</v>
      </c>
      <c r="S8" s="92">
        <v>1</v>
      </c>
      <c r="T8" s="92">
        <v>2</v>
      </c>
      <c r="U8" s="93">
        <v>2</v>
      </c>
      <c r="V8" s="95" t="s">
        <v>279</v>
      </c>
      <c r="W8" s="14"/>
      <c r="X8" s="230">
        <f>AVERAGE(P8,I8,B8)</f>
      </c>
      <c r="Y8" s="230"/>
      <c r="Z8" s="230"/>
      <c r="AA8" s="230">
        <f>AVERAGE(U8,N8,G8)</f>
      </c>
      <c r="AB8" s="230"/>
    </row>
    <row x14ac:dyDescent="0.25" r="9" customHeight="1" ht="154">
      <c r="A9" s="295" t="s">
        <v>42</v>
      </c>
      <c r="B9" s="39">
        <v>0</v>
      </c>
      <c r="C9" s="40">
        <v>6</v>
      </c>
      <c r="D9" s="40">
        <v>0</v>
      </c>
      <c r="E9" s="40">
        <v>1</v>
      </c>
      <c r="F9" s="40">
        <v>2</v>
      </c>
      <c r="G9" s="42">
        <v>3</v>
      </c>
      <c r="H9" s="56" t="s">
        <v>280</v>
      </c>
      <c r="I9" s="57">
        <v>0</v>
      </c>
      <c r="J9" s="40">
        <v>6</v>
      </c>
      <c r="K9" s="40">
        <v>0</v>
      </c>
      <c r="L9" s="40">
        <v>1</v>
      </c>
      <c r="M9" s="40">
        <v>2</v>
      </c>
      <c r="N9" s="42">
        <v>3</v>
      </c>
      <c r="O9" s="56" t="s">
        <v>280</v>
      </c>
      <c r="P9" s="307">
        <v>2</v>
      </c>
      <c r="Q9" s="40">
        <v>8</v>
      </c>
      <c r="R9" s="40">
        <v>0</v>
      </c>
      <c r="S9" s="40">
        <v>1</v>
      </c>
      <c r="T9" s="40">
        <v>4</v>
      </c>
      <c r="U9" s="42">
        <v>5</v>
      </c>
      <c r="V9" s="56" t="s">
        <v>281</v>
      </c>
      <c r="W9" s="14"/>
      <c r="X9" s="230">
        <f>AVERAGE(P9,I9,B9)</f>
      </c>
      <c r="Y9" s="230"/>
      <c r="Z9" s="230"/>
      <c r="AA9" s="230">
        <f>AVERAGE(U9,N9,G9)</f>
      </c>
      <c r="AB9" s="230"/>
    </row>
    <row x14ac:dyDescent="0.25" r="10" customHeight="1" ht="156">
      <c r="A10" s="295" t="s">
        <v>46</v>
      </c>
      <c r="B10" s="39">
        <v>0</v>
      </c>
      <c r="C10" s="40">
        <v>6</v>
      </c>
      <c r="D10" s="40">
        <v>0</v>
      </c>
      <c r="E10" s="40">
        <v>1</v>
      </c>
      <c r="F10" s="40">
        <v>2</v>
      </c>
      <c r="G10" s="42">
        <v>2</v>
      </c>
      <c r="H10" s="106" t="s">
        <v>231</v>
      </c>
      <c r="I10" s="57">
        <v>0</v>
      </c>
      <c r="J10" s="40">
        <v>6</v>
      </c>
      <c r="K10" s="40">
        <v>0</v>
      </c>
      <c r="L10" s="40">
        <v>1</v>
      </c>
      <c r="M10" s="40">
        <v>2</v>
      </c>
      <c r="N10" s="42">
        <v>3</v>
      </c>
      <c r="O10" s="56" t="s">
        <v>280</v>
      </c>
      <c r="P10" s="57">
        <v>0</v>
      </c>
      <c r="Q10" s="40">
        <v>6</v>
      </c>
      <c r="R10" s="40">
        <v>0</v>
      </c>
      <c r="S10" s="40">
        <v>1</v>
      </c>
      <c r="T10" s="40">
        <v>2</v>
      </c>
      <c r="U10" s="42">
        <v>3</v>
      </c>
      <c r="V10" s="56" t="s">
        <v>280</v>
      </c>
      <c r="W10" s="14"/>
      <c r="X10" s="232">
        <f>AVERAGE(P10,I10,B10)</f>
      </c>
      <c r="Y10" s="232">
        <f>AVERAGE(X8:X11)</f>
      </c>
      <c r="Z10" s="230"/>
      <c r="AA10" s="232">
        <f>AVERAGE(U10,N10,G10)</f>
      </c>
      <c r="AB10" s="232">
        <f>AVERAGE(AA8:AA11)</f>
      </c>
    </row>
    <row x14ac:dyDescent="0.25" r="11" customHeight="1" ht="124">
      <c r="A11" s="297" t="s">
        <v>50</v>
      </c>
      <c r="B11" s="65">
        <v>0</v>
      </c>
      <c r="C11" s="66">
        <v>6</v>
      </c>
      <c r="D11" s="66">
        <v>0</v>
      </c>
      <c r="E11" s="66">
        <v>1</v>
      </c>
      <c r="F11" s="66">
        <v>2</v>
      </c>
      <c r="G11" s="67">
        <v>3</v>
      </c>
      <c r="H11" s="69" t="s">
        <v>280</v>
      </c>
      <c r="I11" s="97">
        <v>0</v>
      </c>
      <c r="J11" s="66">
        <v>5</v>
      </c>
      <c r="K11" s="66">
        <v>0</v>
      </c>
      <c r="L11" s="66">
        <v>1</v>
      </c>
      <c r="M11" s="66">
        <v>1</v>
      </c>
      <c r="N11" s="67">
        <v>1</v>
      </c>
      <c r="O11" s="77" t="s">
        <v>215</v>
      </c>
      <c r="P11" s="97">
        <v>0</v>
      </c>
      <c r="Q11" s="66">
        <v>6</v>
      </c>
      <c r="R11" s="66">
        <v>0</v>
      </c>
      <c r="S11" s="66">
        <v>1</v>
      </c>
      <c r="T11" s="66">
        <v>2</v>
      </c>
      <c r="U11" s="67">
        <v>2</v>
      </c>
      <c r="V11" s="98" t="s">
        <v>231</v>
      </c>
      <c r="W11" s="14"/>
      <c r="X11" s="230">
        <f>AVERAGE(P11,I11,B11)</f>
      </c>
      <c r="Y11" s="230"/>
      <c r="Z11" s="230"/>
      <c r="AA11" s="230">
        <f>AVERAGE(U11,N11,G11)</f>
      </c>
      <c r="AB11" s="230"/>
    </row>
    <row x14ac:dyDescent="0.25" r="12" customHeight="1" ht="77">
      <c r="A12" s="56" t="s">
        <v>54</v>
      </c>
      <c r="B12" s="143">
        <v>0</v>
      </c>
      <c r="C12" s="148">
        <v>7</v>
      </c>
      <c r="D12" s="148">
        <v>0</v>
      </c>
      <c r="E12" s="148">
        <v>1</v>
      </c>
      <c r="F12" s="149">
        <v>3</v>
      </c>
      <c r="G12" s="149">
        <v>3</v>
      </c>
      <c r="H12" s="94" t="s">
        <v>246</v>
      </c>
      <c r="I12" s="103">
        <v>0</v>
      </c>
      <c r="J12" s="46">
        <v>7</v>
      </c>
      <c r="K12" s="46">
        <v>0</v>
      </c>
      <c r="L12" s="46">
        <v>1</v>
      </c>
      <c r="M12" s="46">
        <v>3</v>
      </c>
      <c r="N12" s="48">
        <v>4</v>
      </c>
      <c r="O12" s="104" t="s">
        <v>282</v>
      </c>
      <c r="P12" s="103">
        <v>0</v>
      </c>
      <c r="Q12" s="46">
        <v>6</v>
      </c>
      <c r="R12" s="46">
        <v>0</v>
      </c>
      <c r="S12" s="46">
        <v>1</v>
      </c>
      <c r="T12" s="46">
        <v>2</v>
      </c>
      <c r="U12" s="47">
        <v>2</v>
      </c>
      <c r="V12" s="94" t="s">
        <v>283</v>
      </c>
      <c r="W12" s="14"/>
      <c r="X12" s="230">
        <f>AVERAGE(P12,I12,B12)</f>
      </c>
      <c r="Y12" s="230"/>
      <c r="Z12" s="230"/>
      <c r="AA12" s="230">
        <f>AVERAGE(U12,N12,G12)</f>
      </c>
      <c r="AB12" s="230"/>
    </row>
    <row x14ac:dyDescent="0.25" r="13" customHeight="1" ht="77">
      <c r="A13" s="56" t="s">
        <v>57</v>
      </c>
      <c r="B13" s="100">
        <v>0</v>
      </c>
      <c r="C13" s="41">
        <v>10</v>
      </c>
      <c r="D13" s="41">
        <v>0</v>
      </c>
      <c r="E13" s="41">
        <v>1</v>
      </c>
      <c r="F13" s="101">
        <v>4</v>
      </c>
      <c r="G13" s="101">
        <v>4</v>
      </c>
      <c r="H13" s="106" t="s">
        <v>278</v>
      </c>
      <c r="I13" s="39">
        <v>0</v>
      </c>
      <c r="J13" s="40">
        <v>6</v>
      </c>
      <c r="K13" s="40">
        <v>0</v>
      </c>
      <c r="L13" s="40">
        <v>1</v>
      </c>
      <c r="M13" s="40">
        <v>2</v>
      </c>
      <c r="N13" s="55">
        <v>2</v>
      </c>
      <c r="O13" s="105" t="s">
        <v>231</v>
      </c>
      <c r="P13" s="39">
        <v>0</v>
      </c>
      <c r="Q13" s="40">
        <v>7</v>
      </c>
      <c r="R13" s="40">
        <v>0</v>
      </c>
      <c r="S13" s="40">
        <v>1</v>
      </c>
      <c r="T13" s="40">
        <v>3</v>
      </c>
      <c r="U13" s="42">
        <v>3</v>
      </c>
      <c r="V13" s="106" t="s">
        <v>284</v>
      </c>
      <c r="W13" s="14"/>
      <c r="X13" s="230">
        <f>AVERAGE(P13,I13,B13)</f>
      </c>
      <c r="Y13" s="230"/>
      <c r="Z13" s="230"/>
      <c r="AA13" s="230">
        <f>AVERAGE(U13,N13,G13)</f>
      </c>
      <c r="AB13" s="230"/>
    </row>
    <row x14ac:dyDescent="0.25" r="14" customHeight="1" ht="106">
      <c r="A14" s="56" t="s">
        <v>60</v>
      </c>
      <c r="B14" s="100">
        <v>0</v>
      </c>
      <c r="C14" s="41">
        <v>5</v>
      </c>
      <c r="D14" s="41">
        <v>0</v>
      </c>
      <c r="E14" s="41">
        <v>1</v>
      </c>
      <c r="F14" s="101">
        <v>1</v>
      </c>
      <c r="G14" s="101">
        <v>1</v>
      </c>
      <c r="H14" s="106" t="s">
        <v>285</v>
      </c>
      <c r="I14" s="39">
        <v>0</v>
      </c>
      <c r="J14" s="40">
        <v>4</v>
      </c>
      <c r="K14" s="40">
        <v>0</v>
      </c>
      <c r="L14" s="40">
        <v>1</v>
      </c>
      <c r="M14" s="40">
        <v>0</v>
      </c>
      <c r="N14" s="55">
        <v>0</v>
      </c>
      <c r="O14" s="102"/>
      <c r="P14" s="39">
        <v>0</v>
      </c>
      <c r="Q14" s="40">
        <v>5</v>
      </c>
      <c r="R14" s="40">
        <v>0</v>
      </c>
      <c r="S14" s="40">
        <v>1</v>
      </c>
      <c r="T14" s="40">
        <v>1</v>
      </c>
      <c r="U14" s="42">
        <v>1</v>
      </c>
      <c r="V14" s="106" t="s">
        <v>285</v>
      </c>
      <c r="W14" s="14"/>
      <c r="X14" s="232">
        <f>AVERAGE(P14,I14,B14)</f>
      </c>
      <c r="Y14" s="232">
        <f>AVERAGE(X12:X15)</f>
      </c>
      <c r="Z14" s="230"/>
      <c r="AA14" s="232">
        <f>AVERAGE(U14,N14,G14)</f>
      </c>
      <c r="AB14" s="232">
        <f>AVERAGE(AA12:AA15)</f>
      </c>
    </row>
    <row x14ac:dyDescent="0.25" r="15" customHeight="1" ht="128">
      <c r="A15" s="56" t="s">
        <v>62</v>
      </c>
      <c r="B15" s="107">
        <v>0</v>
      </c>
      <c r="C15" s="108">
        <v>5</v>
      </c>
      <c r="D15" s="108">
        <v>0</v>
      </c>
      <c r="E15" s="108">
        <v>1</v>
      </c>
      <c r="F15" s="109">
        <v>2</v>
      </c>
      <c r="G15" s="109">
        <v>4</v>
      </c>
      <c r="H15" s="69" t="s">
        <v>286</v>
      </c>
      <c r="I15" s="65">
        <v>0</v>
      </c>
      <c r="J15" s="66">
        <v>5</v>
      </c>
      <c r="K15" s="66">
        <v>0</v>
      </c>
      <c r="L15" s="66">
        <v>1</v>
      </c>
      <c r="M15" s="66">
        <v>2</v>
      </c>
      <c r="N15" s="68">
        <v>5</v>
      </c>
      <c r="O15" s="111" t="s">
        <v>287</v>
      </c>
      <c r="P15" s="65">
        <v>0</v>
      </c>
      <c r="Q15" s="66">
        <v>6</v>
      </c>
      <c r="R15" s="66">
        <v>0</v>
      </c>
      <c r="S15" s="66">
        <v>1</v>
      </c>
      <c r="T15" s="66">
        <v>3</v>
      </c>
      <c r="U15" s="67">
        <v>3</v>
      </c>
      <c r="V15" s="77" t="s">
        <v>284</v>
      </c>
      <c r="W15" s="14"/>
      <c r="X15" s="230">
        <f>AVERAGE(P15,I15,B15)</f>
      </c>
      <c r="Y15" s="230"/>
      <c r="Z15" s="230"/>
      <c r="AA15" s="230">
        <f>AVERAGE(U15,N15,G15)</f>
      </c>
      <c r="AB15" s="230"/>
    </row>
    <row x14ac:dyDescent="0.25" r="16" customHeight="1" ht="16.5">
      <c r="A16" s="14"/>
      <c r="B16" s="13"/>
      <c r="C16" s="13"/>
      <c r="D16" s="13"/>
      <c r="E16" s="13"/>
      <c r="F16" s="13"/>
      <c r="G16" s="13"/>
      <c r="H16" s="14"/>
      <c r="I16" s="13"/>
      <c r="J16" s="13"/>
      <c r="K16" s="13"/>
      <c r="L16" s="13"/>
      <c r="M16" s="13"/>
      <c r="N16" s="13"/>
      <c r="O16" s="14"/>
      <c r="P16" s="13"/>
      <c r="Q16" s="13"/>
      <c r="R16" s="13"/>
      <c r="S16" s="13"/>
      <c r="T16" s="13"/>
      <c r="U16" s="13"/>
      <c r="V16" s="14"/>
      <c r="W16" s="14"/>
      <c r="X16" s="15"/>
      <c r="Y16" s="15"/>
      <c r="Z16" s="14"/>
      <c r="AA16" s="15"/>
      <c r="AB16" s="15"/>
    </row>
    <row x14ac:dyDescent="0.25" r="17" customHeight="1" ht="16.5">
      <c r="A17" s="14"/>
      <c r="B17" s="13"/>
      <c r="C17" s="13"/>
      <c r="D17" s="13"/>
      <c r="E17" s="13"/>
      <c r="F17" s="13"/>
      <c r="G17" s="13"/>
      <c r="H17" s="14"/>
      <c r="I17" s="13"/>
      <c r="J17" s="13"/>
      <c r="K17" s="13"/>
      <c r="L17" s="13"/>
      <c r="M17" s="13"/>
      <c r="N17" s="13"/>
      <c r="O17" s="14"/>
      <c r="P17" s="13"/>
      <c r="Q17" s="13"/>
      <c r="R17" s="13"/>
      <c r="S17" s="13"/>
      <c r="T17" s="13"/>
      <c r="U17" s="13"/>
      <c r="V17" s="14"/>
      <c r="W17" s="14"/>
      <c r="X17" s="15"/>
      <c r="Y17" s="15"/>
      <c r="Z17" s="14"/>
      <c r="AA17" s="15"/>
      <c r="AB17" s="15"/>
    </row>
    <row x14ac:dyDescent="0.25" r="18" customHeight="1" ht="16.5">
      <c r="A18" s="14"/>
      <c r="B18" s="13"/>
      <c r="C18" s="13"/>
      <c r="D18" s="13"/>
      <c r="E18" s="13"/>
      <c r="F18" s="13"/>
      <c r="G18" s="13"/>
      <c r="H18" s="14"/>
      <c r="I18" s="13"/>
      <c r="J18" s="13"/>
      <c r="K18" s="13"/>
      <c r="L18" s="13"/>
      <c r="M18" s="13"/>
      <c r="N18" s="13"/>
      <c r="O18" s="14"/>
      <c r="P18" s="13"/>
      <c r="Q18" s="13"/>
      <c r="R18" s="13"/>
      <c r="S18" s="13"/>
      <c r="T18" s="13"/>
      <c r="U18" s="13"/>
      <c r="V18" s="14"/>
      <c r="W18" s="14"/>
      <c r="X18" s="15"/>
      <c r="Y18" s="15"/>
      <c r="Z18" s="14"/>
      <c r="AA18" s="15"/>
      <c r="AB18" s="15"/>
    </row>
    <row x14ac:dyDescent="0.25" r="19" customHeight="1" ht="16.5">
      <c r="A19" s="14"/>
      <c r="B19" s="13"/>
      <c r="C19" s="13"/>
      <c r="D19" s="13"/>
      <c r="E19" s="13"/>
      <c r="F19" s="13"/>
      <c r="G19" s="13"/>
      <c r="H19" s="14"/>
      <c r="I19" s="13"/>
      <c r="J19" s="13"/>
      <c r="K19" s="13"/>
      <c r="L19" s="13"/>
      <c r="M19" s="13"/>
      <c r="N19" s="13"/>
      <c r="O19" s="14"/>
      <c r="P19" s="13"/>
      <c r="Q19" s="13"/>
      <c r="R19" s="13"/>
      <c r="S19" s="13"/>
      <c r="T19" s="13"/>
      <c r="U19" s="13"/>
      <c r="V19" s="14"/>
      <c r="W19" s="14"/>
      <c r="X19" s="15"/>
      <c r="Y19" s="15"/>
      <c r="Z19" s="14"/>
      <c r="AA19" s="15"/>
      <c r="AB19" s="15"/>
    </row>
    <row x14ac:dyDescent="0.25" r="20" customHeight="1" ht="16.5">
      <c r="A20" s="14"/>
      <c r="B20" s="13"/>
      <c r="C20" s="13"/>
      <c r="D20" s="13"/>
      <c r="E20" s="13"/>
      <c r="F20" s="13"/>
      <c r="G20" s="13"/>
      <c r="H20" s="14"/>
      <c r="I20" s="13"/>
      <c r="J20" s="13"/>
      <c r="K20" s="13"/>
      <c r="L20" s="13"/>
      <c r="M20" s="13"/>
      <c r="N20" s="13"/>
      <c r="O20" s="14"/>
      <c r="P20" s="13"/>
      <c r="Q20" s="13"/>
      <c r="R20" s="13"/>
      <c r="S20" s="13"/>
      <c r="T20" s="13"/>
      <c r="U20" s="13"/>
      <c r="V20" s="14"/>
      <c r="W20" s="14"/>
      <c r="X20" s="15"/>
      <c r="Y20" s="15"/>
      <c r="Z20" s="14"/>
      <c r="AA20" s="15"/>
      <c r="AB20" s="15"/>
    </row>
    <row x14ac:dyDescent="0.25" r="21" customHeight="1" ht="16.5">
      <c r="A21" s="14"/>
      <c r="B21" s="13"/>
      <c r="C21" s="13"/>
      <c r="D21" s="13"/>
      <c r="E21" s="13"/>
      <c r="F21" s="13"/>
      <c r="G21" s="13"/>
      <c r="H21" s="14"/>
      <c r="I21" s="13"/>
      <c r="J21" s="13"/>
      <c r="K21" s="13"/>
      <c r="L21" s="13"/>
      <c r="M21" s="13"/>
      <c r="N21" s="13"/>
      <c r="O21" s="14"/>
      <c r="P21" s="13"/>
      <c r="Q21" s="13"/>
      <c r="R21" s="13"/>
      <c r="S21" s="13"/>
      <c r="T21" s="13"/>
      <c r="U21" s="13"/>
      <c r="V21" s="14"/>
      <c r="W21" s="14"/>
      <c r="X21" s="15"/>
      <c r="Y21" s="15"/>
      <c r="Z21" s="14"/>
      <c r="AA21" s="15"/>
      <c r="AB21" s="15"/>
    </row>
    <row x14ac:dyDescent="0.25" r="22" customHeight="1" ht="16.5">
      <c r="A22" s="14"/>
      <c r="B22" s="13"/>
      <c r="C22" s="13"/>
      <c r="D22" s="13"/>
      <c r="E22" s="13"/>
      <c r="F22" s="13"/>
      <c r="G22" s="13"/>
      <c r="H22" s="14"/>
      <c r="I22" s="13"/>
      <c r="J22" s="13"/>
      <c r="K22" s="13"/>
      <c r="L22" s="13"/>
      <c r="M22" s="13"/>
      <c r="N22" s="13"/>
      <c r="O22" s="14"/>
      <c r="P22" s="13"/>
      <c r="Q22" s="13"/>
      <c r="R22" s="13"/>
      <c r="S22" s="13"/>
      <c r="T22" s="13"/>
      <c r="U22" s="13"/>
      <c r="V22" s="14"/>
      <c r="W22" s="14"/>
      <c r="X22" s="15"/>
      <c r="Y22" s="15"/>
      <c r="Z22" s="14"/>
      <c r="AA22" s="15"/>
      <c r="AB22" s="15"/>
    </row>
  </sheetData>
  <mergeCells count="3">
    <mergeCell ref="B2:H2"/>
    <mergeCell ref="I2:O2"/>
    <mergeCell ref="P2:V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AL15"/>
  <sheetViews>
    <sheetView workbookViewId="0"/>
  </sheetViews>
  <sheetFormatPr defaultRowHeight="15" x14ac:dyDescent="0.25"/>
  <cols>
    <col min="1" max="1" style="189" width="26.862142857142857" customWidth="1" bestFit="1"/>
    <col min="2" max="2" style="256" width="9.862142857142858" customWidth="1" bestFit="1"/>
    <col min="3" max="3" style="256" width="9.862142857142858" customWidth="1" bestFit="1"/>
    <col min="4" max="4" style="256" width="10.290714285714287" customWidth="1" bestFit="1"/>
    <col min="5" max="5" style="256" width="10.719285714285713" customWidth="1" bestFit="1"/>
    <col min="6" max="6" style="256" width="10.290714285714287" customWidth="1" bestFit="1"/>
    <col min="7" max="7" style="256" width="10.290714285714287" customWidth="1" bestFit="1"/>
    <col min="8" max="8" style="256" width="11.290714285714287" customWidth="1" bestFit="1"/>
    <col min="9" max="9" style="256" width="11.290714285714287" customWidth="1" bestFit="1"/>
    <col min="10" max="10" style="189" width="48.005" customWidth="1" bestFit="1"/>
    <col min="11" max="11" style="256" width="11.862142857142858" customWidth="1" bestFit="1"/>
    <col min="12" max="12" style="256" width="11.862142857142858" customWidth="1" bestFit="1"/>
    <col min="13" max="13" style="256" width="11.862142857142858" customWidth="1" bestFit="1"/>
    <col min="14" max="14" style="256" width="11.862142857142858" customWidth="1" bestFit="1"/>
    <col min="15" max="15" style="256" width="11.862142857142858" customWidth="1" bestFit="1"/>
    <col min="16" max="16" style="256" width="11.862142857142858" customWidth="1" bestFit="1"/>
    <col min="17" max="17" style="256" width="11.862142857142858" customWidth="1" bestFit="1"/>
    <col min="18" max="18" style="256" width="11.862142857142858" customWidth="1" bestFit="1"/>
    <col min="19" max="19" style="189" width="48.29071428571429" customWidth="1" bestFit="1"/>
    <col min="20" max="20" style="256" width="11.862142857142858" customWidth="1" bestFit="1"/>
    <col min="21" max="21" style="256" width="11.862142857142858" customWidth="1" bestFit="1"/>
    <col min="22" max="22" style="256" width="11.862142857142858" customWidth="1" bestFit="1"/>
    <col min="23" max="23" style="256" width="11.862142857142858" customWidth="1" bestFit="1"/>
    <col min="24" max="24" style="256" width="11.862142857142858" customWidth="1" bestFit="1"/>
    <col min="25" max="25" style="256" width="11.862142857142858" customWidth="1" bestFit="1"/>
    <col min="26" max="26" style="256" width="11.862142857142858" customWidth="1" bestFit="1"/>
    <col min="27" max="27" style="256" width="11.862142857142858" customWidth="1" bestFit="1"/>
    <col min="28" max="28" style="189" width="43.86214285714286" customWidth="1" bestFit="1"/>
    <col min="29" max="29" style="189" width="11.862142857142858" customWidth="1" bestFit="1"/>
    <col min="30" max="30" style="257" width="18.576428571428572" customWidth="1" bestFit="1"/>
    <col min="31" max="31" style="257" width="24.14785714285714" customWidth="1" bestFit="1"/>
    <col min="32" max="32" style="257" width="18.290714285714284" customWidth="1" bestFit="1"/>
    <col min="33" max="33" style="257" width="17.719285714285714" customWidth="1" bestFit="1"/>
    <col min="34" max="34" style="258" width="11.862142857142858" customWidth="1" bestFit="1"/>
    <col min="35" max="35" style="257" width="18.576428571428572" customWidth="1" bestFit="1"/>
    <col min="36" max="36" style="257" width="20.005" customWidth="1" bestFit="1"/>
    <col min="37" max="37" style="257" width="18.719285714285714" customWidth="1" bestFit="1"/>
    <col min="38" max="38" style="257" width="25.719285714285714" customWidth="1" bestFit="1"/>
  </cols>
  <sheetData>
    <row x14ac:dyDescent="0.25" r="1" customHeight="1" ht="16.5">
      <c r="A1" s="14"/>
      <c r="B1" s="215"/>
      <c r="C1" s="215"/>
      <c r="D1" s="215"/>
      <c r="E1" s="215"/>
      <c r="F1" s="215"/>
      <c r="G1" s="215"/>
      <c r="H1" s="215"/>
      <c r="I1" s="215"/>
      <c r="J1" s="14"/>
      <c r="K1" s="215"/>
      <c r="L1" s="215"/>
      <c r="M1" s="215"/>
      <c r="N1" s="215"/>
      <c r="O1" s="215"/>
      <c r="P1" s="215"/>
      <c r="Q1" s="215"/>
      <c r="R1" s="215"/>
      <c r="S1" s="14"/>
      <c r="T1" s="215"/>
      <c r="U1" s="215"/>
      <c r="V1" s="215"/>
      <c r="W1" s="215"/>
      <c r="X1" s="215"/>
      <c r="Y1" s="215"/>
      <c r="Z1" s="215"/>
      <c r="AA1" s="215"/>
      <c r="AB1" s="14"/>
      <c r="AC1" s="14"/>
      <c r="AD1" s="216"/>
      <c r="AE1" s="216"/>
      <c r="AF1" s="216"/>
      <c r="AG1" s="216"/>
      <c r="AH1" s="217"/>
      <c r="AI1" s="216"/>
      <c r="AJ1" s="216"/>
      <c r="AK1" s="216"/>
      <c r="AL1" s="216"/>
    </row>
    <row x14ac:dyDescent="0.25" r="2" customHeight="1" ht="16.5">
      <c r="A2" s="14"/>
      <c r="B2" s="84" t="s">
        <v>15</v>
      </c>
      <c r="C2" s="85"/>
      <c r="D2" s="85"/>
      <c r="E2" s="85"/>
      <c r="F2" s="85"/>
      <c r="G2" s="85"/>
      <c r="H2" s="85"/>
      <c r="I2" s="85"/>
      <c r="J2" s="21"/>
      <c r="K2" s="84" t="s">
        <v>16</v>
      </c>
      <c r="L2" s="85"/>
      <c r="M2" s="85"/>
      <c r="N2" s="85"/>
      <c r="O2" s="85"/>
      <c r="P2" s="85"/>
      <c r="Q2" s="85"/>
      <c r="R2" s="85"/>
      <c r="S2" s="21"/>
      <c r="T2" s="84" t="s">
        <v>17</v>
      </c>
      <c r="U2" s="85"/>
      <c r="V2" s="85"/>
      <c r="W2" s="85"/>
      <c r="X2" s="85"/>
      <c r="Y2" s="85"/>
      <c r="Z2" s="85"/>
      <c r="AA2" s="85"/>
      <c r="AB2" s="291"/>
      <c r="AC2" s="14"/>
      <c r="AD2" s="216"/>
      <c r="AE2" s="216"/>
      <c r="AF2" s="216"/>
      <c r="AG2" s="216"/>
      <c r="AH2" s="217"/>
      <c r="AI2" s="216"/>
      <c r="AJ2" s="216"/>
      <c r="AK2" s="216"/>
      <c r="AL2" s="216"/>
    </row>
    <row x14ac:dyDescent="0.25" r="3" customHeight="1" ht="16.5">
      <c r="A3" s="218" t="s">
        <v>20</v>
      </c>
      <c r="B3" s="113" t="s">
        <v>198</v>
      </c>
      <c r="C3" s="114" t="s">
        <v>204</v>
      </c>
      <c r="D3" s="114" t="s">
        <v>22</v>
      </c>
      <c r="E3" s="114" t="s">
        <v>200</v>
      </c>
      <c r="F3" s="114" t="s">
        <v>24</v>
      </c>
      <c r="G3" s="114" t="s">
        <v>25</v>
      </c>
      <c r="H3" s="114" t="s">
        <v>201</v>
      </c>
      <c r="I3" s="116" t="s">
        <v>205</v>
      </c>
      <c r="J3" s="117" t="s">
        <v>203</v>
      </c>
      <c r="K3" s="113" t="s">
        <v>198</v>
      </c>
      <c r="L3" s="114" t="s">
        <v>204</v>
      </c>
      <c r="M3" s="114" t="s">
        <v>22</v>
      </c>
      <c r="N3" s="114" t="s">
        <v>200</v>
      </c>
      <c r="O3" s="114" t="s">
        <v>24</v>
      </c>
      <c r="P3" s="114" t="s">
        <v>25</v>
      </c>
      <c r="Q3" s="114" t="s">
        <v>201</v>
      </c>
      <c r="R3" s="116" t="s">
        <v>205</v>
      </c>
      <c r="S3" s="117" t="s">
        <v>203</v>
      </c>
      <c r="T3" s="113" t="s">
        <v>198</v>
      </c>
      <c r="U3" s="114" t="s">
        <v>204</v>
      </c>
      <c r="V3" s="114" t="s">
        <v>22</v>
      </c>
      <c r="W3" s="114" t="s">
        <v>200</v>
      </c>
      <c r="X3" s="114" t="s">
        <v>24</v>
      </c>
      <c r="Y3" s="114" t="s">
        <v>25</v>
      </c>
      <c r="Z3" s="114" t="s">
        <v>201</v>
      </c>
      <c r="AA3" s="116" t="s">
        <v>205</v>
      </c>
      <c r="AB3" s="117" t="s">
        <v>203</v>
      </c>
      <c r="AC3" s="14"/>
      <c r="AD3" s="221" t="s">
        <v>206</v>
      </c>
      <c r="AE3" s="222" t="s">
        <v>207</v>
      </c>
      <c r="AF3" s="222" t="s">
        <v>208</v>
      </c>
      <c r="AG3" s="223" t="s">
        <v>209</v>
      </c>
      <c r="AH3" s="217"/>
      <c r="AI3" s="221" t="s">
        <v>210</v>
      </c>
      <c r="AJ3" s="222" t="s">
        <v>211</v>
      </c>
      <c r="AK3" s="222" t="s">
        <v>212</v>
      </c>
      <c r="AL3" s="223" t="s">
        <v>213</v>
      </c>
    </row>
    <row x14ac:dyDescent="0.25" r="4" customHeight="1" ht="83">
      <c r="A4" s="292" t="s">
        <v>29</v>
      </c>
      <c r="B4" s="103">
        <v>0</v>
      </c>
      <c r="C4" s="46">
        <v>0</v>
      </c>
      <c r="D4" s="46">
        <v>3</v>
      </c>
      <c r="E4" s="148">
        <v>0</v>
      </c>
      <c r="F4" s="46">
        <v>1</v>
      </c>
      <c r="G4" s="46">
        <v>0</v>
      </c>
      <c r="H4" s="148">
        <v>0</v>
      </c>
      <c r="I4" s="150">
        <v>0</v>
      </c>
      <c r="J4" s="225"/>
      <c r="K4" s="103">
        <v>0</v>
      </c>
      <c r="L4" s="46">
        <v>0</v>
      </c>
      <c r="M4" s="46">
        <v>5</v>
      </c>
      <c r="N4" s="46">
        <v>1</v>
      </c>
      <c r="O4" s="46">
        <v>1</v>
      </c>
      <c r="P4" s="46">
        <v>0</v>
      </c>
      <c r="Q4" s="46">
        <v>0</v>
      </c>
      <c r="R4" s="48">
        <v>0</v>
      </c>
      <c r="S4" s="293" t="s">
        <v>240</v>
      </c>
      <c r="T4" s="103">
        <v>0</v>
      </c>
      <c r="U4" s="46">
        <v>0</v>
      </c>
      <c r="V4" s="46">
        <v>1</v>
      </c>
      <c r="W4" s="46">
        <v>0</v>
      </c>
      <c r="X4" s="46">
        <v>1</v>
      </c>
      <c r="Y4" s="46">
        <v>0</v>
      </c>
      <c r="Z4" s="46">
        <v>1</v>
      </c>
      <c r="AA4" s="48">
        <v>1</v>
      </c>
      <c r="AB4" s="294" t="s">
        <v>232</v>
      </c>
      <c r="AC4" s="14"/>
      <c r="AD4" s="226">
        <f>AVERAGE(T4,K4,B4)</f>
      </c>
      <c r="AE4" s="227">
        <f>AVERAGE(T4-U4,K4-L4,B4-C4)</f>
      </c>
      <c r="AF4" s="228"/>
      <c r="AG4" s="229"/>
      <c r="AH4" s="230"/>
      <c r="AI4" s="226">
        <f>AVERAGE(Z4,Q4,H4)</f>
      </c>
      <c r="AJ4" s="227">
        <f>AVERAGE(Z4-AA4,Q4-R4,H4-I4)</f>
      </c>
      <c r="AK4" s="228"/>
      <c r="AL4" s="229"/>
    </row>
    <row x14ac:dyDescent="0.25" r="5" customHeight="1" ht="106">
      <c r="A5" s="295" t="s">
        <v>32</v>
      </c>
      <c r="B5" s="39">
        <v>0</v>
      </c>
      <c r="C5" s="40">
        <v>0</v>
      </c>
      <c r="D5" s="40">
        <v>4</v>
      </c>
      <c r="E5" s="40">
        <v>0</v>
      </c>
      <c r="F5" s="40">
        <v>1</v>
      </c>
      <c r="G5" s="40">
        <v>0</v>
      </c>
      <c r="H5" s="40">
        <v>0</v>
      </c>
      <c r="I5" s="55">
        <v>0</v>
      </c>
      <c r="J5" s="102"/>
      <c r="K5" s="39">
        <v>0</v>
      </c>
      <c r="L5" s="40">
        <v>0</v>
      </c>
      <c r="M5" s="40">
        <v>4</v>
      </c>
      <c r="N5" s="40">
        <v>0</v>
      </c>
      <c r="O5" s="40">
        <v>1</v>
      </c>
      <c r="P5" s="40">
        <v>0</v>
      </c>
      <c r="Q5" s="40">
        <v>1</v>
      </c>
      <c r="R5" s="55">
        <v>0</v>
      </c>
      <c r="S5" s="102" t="s">
        <v>33</v>
      </c>
      <c r="T5" s="39">
        <v>0</v>
      </c>
      <c r="U5" s="40">
        <v>0</v>
      </c>
      <c r="V5" s="40">
        <v>4</v>
      </c>
      <c r="W5" s="40">
        <v>0</v>
      </c>
      <c r="X5" s="40">
        <v>1</v>
      </c>
      <c r="Y5" s="40">
        <v>0</v>
      </c>
      <c r="Z5" s="40">
        <v>0</v>
      </c>
      <c r="AA5" s="55">
        <v>0</v>
      </c>
      <c r="AB5" s="133"/>
      <c r="AC5" s="14"/>
      <c r="AD5" s="51">
        <f>AVERAGE(T5,K5,B5)</f>
      </c>
      <c r="AE5" s="232">
        <f>AVERAGE(T5-U5,K5-L5,B5-C5)</f>
      </c>
      <c r="AF5" s="230"/>
      <c r="AG5" s="233"/>
      <c r="AH5" s="230"/>
      <c r="AI5" s="51">
        <f>AVERAGE(Z5,Q5,H5)</f>
      </c>
      <c r="AJ5" s="232">
        <f>AVERAGE(Z5-AA5,Q5-R5,H5-I5)</f>
      </c>
      <c r="AK5" s="230"/>
      <c r="AL5" s="233"/>
    </row>
    <row x14ac:dyDescent="0.25" r="6" customHeight="1" ht="187">
      <c r="A6" s="296" t="s">
        <v>34</v>
      </c>
      <c r="B6" s="39">
        <v>0</v>
      </c>
      <c r="C6" s="40">
        <v>0</v>
      </c>
      <c r="D6" s="40">
        <v>5</v>
      </c>
      <c r="E6" s="40">
        <v>0</v>
      </c>
      <c r="F6" s="40">
        <v>1</v>
      </c>
      <c r="G6" s="40">
        <v>0</v>
      </c>
      <c r="H6" s="40">
        <v>1</v>
      </c>
      <c r="I6" s="55">
        <v>1</v>
      </c>
      <c r="J6" s="198" t="s">
        <v>35</v>
      </c>
      <c r="K6" s="39">
        <v>1</v>
      </c>
      <c r="L6" s="40">
        <v>1</v>
      </c>
      <c r="M6" s="40">
        <v>5</v>
      </c>
      <c r="N6" s="40">
        <v>0</v>
      </c>
      <c r="O6" s="40">
        <v>1</v>
      </c>
      <c r="P6" s="40">
        <v>0</v>
      </c>
      <c r="Q6" s="40">
        <v>1</v>
      </c>
      <c r="R6" s="55">
        <v>1</v>
      </c>
      <c r="S6" s="102" t="s">
        <v>262</v>
      </c>
      <c r="T6" s="39">
        <v>0</v>
      </c>
      <c r="U6" s="40">
        <v>0</v>
      </c>
      <c r="V6" s="40">
        <v>5</v>
      </c>
      <c r="W6" s="40">
        <v>0</v>
      </c>
      <c r="X6" s="40">
        <v>1</v>
      </c>
      <c r="Y6" s="40">
        <v>0</v>
      </c>
      <c r="Z6" s="40">
        <v>1</v>
      </c>
      <c r="AA6" s="55">
        <v>1</v>
      </c>
      <c r="AB6" s="133" t="s">
        <v>232</v>
      </c>
      <c r="AC6" s="14"/>
      <c r="AD6" s="51">
        <f>AVERAGE(T6,K6,B6)</f>
      </c>
      <c r="AE6" s="232">
        <f>AVERAGE(T6-U6,K6-L6,B6-C6)</f>
      </c>
      <c r="AF6" s="232">
        <f>AVERAGE(AD4:AD7)</f>
      </c>
      <c r="AG6" s="237">
        <f>AVERAGE(AE4:AE7)</f>
      </c>
      <c r="AH6" s="230"/>
      <c r="AI6" s="51">
        <f>AVERAGE(Z6,Q6,H6)</f>
      </c>
      <c r="AJ6" s="232">
        <f>AVERAGE(Z6-AA6,Q6-R6,H6-I6)</f>
      </c>
      <c r="AK6" s="232">
        <f>AVERAGE(AI4:AI7)</f>
      </c>
      <c r="AL6" s="237">
        <f>AVERAGE(AJ4:AJ7)</f>
      </c>
    </row>
    <row x14ac:dyDescent="0.25" r="7" customHeight="1" ht="147">
      <c r="A7" s="297" t="s">
        <v>37</v>
      </c>
      <c r="B7" s="59">
        <v>0</v>
      </c>
      <c r="C7" s="60">
        <v>0</v>
      </c>
      <c r="D7" s="60">
        <v>4</v>
      </c>
      <c r="E7" s="60">
        <v>0</v>
      </c>
      <c r="F7" s="60">
        <v>1</v>
      </c>
      <c r="G7" s="60">
        <v>0</v>
      </c>
      <c r="H7" s="60">
        <v>0</v>
      </c>
      <c r="I7" s="62">
        <v>0</v>
      </c>
      <c r="J7" s="111"/>
      <c r="K7" s="59">
        <v>0</v>
      </c>
      <c r="L7" s="60">
        <v>0</v>
      </c>
      <c r="M7" s="60">
        <v>5</v>
      </c>
      <c r="N7" s="60">
        <v>1</v>
      </c>
      <c r="O7" s="60">
        <v>1</v>
      </c>
      <c r="P7" s="60">
        <v>0</v>
      </c>
      <c r="Q7" s="60">
        <v>0</v>
      </c>
      <c r="R7" s="62">
        <v>0</v>
      </c>
      <c r="S7" s="298" t="s">
        <v>239</v>
      </c>
      <c r="T7" s="59">
        <v>0</v>
      </c>
      <c r="U7" s="60">
        <v>0</v>
      </c>
      <c r="V7" s="60">
        <v>5</v>
      </c>
      <c r="W7" s="60">
        <v>0</v>
      </c>
      <c r="X7" s="60">
        <v>1</v>
      </c>
      <c r="Y7" s="60">
        <v>0</v>
      </c>
      <c r="Z7" s="60">
        <v>0</v>
      </c>
      <c r="AA7" s="62">
        <v>0</v>
      </c>
      <c r="AB7" s="299"/>
      <c r="AC7" s="14"/>
      <c r="AD7" s="239">
        <f>AVERAGE(T7,K7,B7)</f>
      </c>
      <c r="AE7" s="240">
        <f>AVERAGE(T7-U7,K7-L7,B7-C7)</f>
      </c>
      <c r="AF7" s="230"/>
      <c r="AG7" s="233"/>
      <c r="AH7" s="230"/>
      <c r="AI7" s="239">
        <f>AVERAGE(Z7,Q7,H7)</f>
      </c>
      <c r="AJ7" s="240">
        <f>AVERAGE(Z7-AA7,Q7-R7,H7-I7)</f>
      </c>
      <c r="AK7" s="230"/>
      <c r="AL7" s="233"/>
    </row>
    <row x14ac:dyDescent="0.25" r="8" customHeight="1" ht="222">
      <c r="A8" s="295" t="s">
        <v>38</v>
      </c>
      <c r="B8" s="125">
        <v>0</v>
      </c>
      <c r="C8" s="92">
        <v>0</v>
      </c>
      <c r="D8" s="92">
        <v>3</v>
      </c>
      <c r="E8" s="92">
        <v>0</v>
      </c>
      <c r="F8" s="92">
        <v>1</v>
      </c>
      <c r="G8" s="92">
        <v>0</v>
      </c>
      <c r="H8" s="92">
        <v>2</v>
      </c>
      <c r="I8" s="126">
        <v>1</v>
      </c>
      <c r="J8" s="102" t="s">
        <v>263</v>
      </c>
      <c r="K8" s="125">
        <v>0</v>
      </c>
      <c r="L8" s="92">
        <v>0</v>
      </c>
      <c r="M8" s="92">
        <v>3</v>
      </c>
      <c r="N8" s="92">
        <v>0</v>
      </c>
      <c r="O8" s="92">
        <v>1</v>
      </c>
      <c r="P8" s="92">
        <v>0</v>
      </c>
      <c r="Q8" s="92">
        <v>0</v>
      </c>
      <c r="R8" s="126">
        <v>0</v>
      </c>
      <c r="S8" s="252"/>
      <c r="T8" s="125">
        <v>1</v>
      </c>
      <c r="U8" s="92">
        <v>1</v>
      </c>
      <c r="V8" s="92">
        <v>3</v>
      </c>
      <c r="W8" s="92">
        <v>0</v>
      </c>
      <c r="X8" s="92">
        <v>1</v>
      </c>
      <c r="Y8" s="92">
        <v>0</v>
      </c>
      <c r="Z8" s="92">
        <v>0</v>
      </c>
      <c r="AA8" s="126">
        <v>0</v>
      </c>
      <c r="AB8" s="144" t="s">
        <v>224</v>
      </c>
      <c r="AC8" s="14"/>
      <c r="AD8" s="226">
        <f>AVERAGE(T8,K8,B8)</f>
      </c>
      <c r="AE8" s="227">
        <f>AVERAGE(T8-U8,K8-L8,B8-C8)</f>
      </c>
      <c r="AF8" s="228"/>
      <c r="AG8" s="229"/>
      <c r="AH8" s="230"/>
      <c r="AI8" s="226">
        <f>AVERAGE(Z8,Q8,H8)</f>
      </c>
      <c r="AJ8" s="227">
        <f>AVERAGE(Z8-AA8,Q8-R8,H8-I8)</f>
      </c>
      <c r="AK8" s="228"/>
      <c r="AL8" s="229"/>
    </row>
    <row x14ac:dyDescent="0.25" r="9" customHeight="1" ht="280">
      <c r="A9" s="295" t="s">
        <v>42</v>
      </c>
      <c r="B9" s="300">
        <v>2</v>
      </c>
      <c r="C9" s="40">
        <v>2</v>
      </c>
      <c r="D9" s="40">
        <v>6</v>
      </c>
      <c r="E9" s="40">
        <v>0</v>
      </c>
      <c r="F9" s="40">
        <v>1</v>
      </c>
      <c r="G9" s="40">
        <v>2</v>
      </c>
      <c r="H9" s="40">
        <v>6</v>
      </c>
      <c r="I9" s="55">
        <v>2</v>
      </c>
      <c r="J9" s="102" t="s">
        <v>264</v>
      </c>
      <c r="K9" s="300">
        <v>2</v>
      </c>
      <c r="L9" s="40">
        <v>2</v>
      </c>
      <c r="M9" s="40">
        <v>6</v>
      </c>
      <c r="N9" s="40">
        <v>0</v>
      </c>
      <c r="O9" s="40">
        <v>1</v>
      </c>
      <c r="P9" s="40">
        <v>0</v>
      </c>
      <c r="Q9" s="40">
        <v>0</v>
      </c>
      <c r="R9" s="55">
        <v>0</v>
      </c>
      <c r="S9" s="102" t="s">
        <v>265</v>
      </c>
      <c r="T9" s="39">
        <v>1</v>
      </c>
      <c r="U9" s="40">
        <v>1</v>
      </c>
      <c r="V9" s="40">
        <v>6</v>
      </c>
      <c r="W9" s="40">
        <v>0</v>
      </c>
      <c r="X9" s="40">
        <v>1</v>
      </c>
      <c r="Y9" s="40">
        <v>0</v>
      </c>
      <c r="Z9" s="40">
        <v>1</v>
      </c>
      <c r="AA9" s="55">
        <v>1</v>
      </c>
      <c r="AB9" s="133" t="s">
        <v>266</v>
      </c>
      <c r="AC9" s="14"/>
      <c r="AD9" s="51">
        <f>AVERAGE(T9,K9,B9)</f>
      </c>
      <c r="AE9" s="232">
        <f>AVERAGE(T9-U9,K9-L9,B9-C9)</f>
      </c>
      <c r="AF9" s="230"/>
      <c r="AG9" s="233"/>
      <c r="AH9" s="230"/>
      <c r="AI9" s="51">
        <f>AVERAGE(Z9,Q9,H9)</f>
      </c>
      <c r="AJ9" s="232">
        <f>AVERAGE(Z9-AA9,Q9-R9,H9-I9)</f>
      </c>
      <c r="AK9" s="230"/>
      <c r="AL9" s="233"/>
    </row>
    <row x14ac:dyDescent="0.25" r="10" customHeight="1" ht="209">
      <c r="A10" s="295" t="s">
        <v>46</v>
      </c>
      <c r="B10" s="39">
        <v>1</v>
      </c>
      <c r="C10" s="40">
        <v>1</v>
      </c>
      <c r="D10" s="40">
        <v>5</v>
      </c>
      <c r="E10" s="40">
        <v>0</v>
      </c>
      <c r="F10" s="40">
        <v>1</v>
      </c>
      <c r="G10" s="40">
        <v>0</v>
      </c>
      <c r="H10" s="40">
        <v>0</v>
      </c>
      <c r="I10" s="55">
        <v>0</v>
      </c>
      <c r="J10" s="301" t="s">
        <v>219</v>
      </c>
      <c r="K10" s="39">
        <v>0</v>
      </c>
      <c r="L10" s="40">
        <v>0</v>
      </c>
      <c r="M10" s="40">
        <v>5</v>
      </c>
      <c r="N10" s="40">
        <v>0</v>
      </c>
      <c r="O10" s="40">
        <v>1</v>
      </c>
      <c r="P10" s="40">
        <v>0</v>
      </c>
      <c r="Q10" s="40">
        <v>3</v>
      </c>
      <c r="R10" s="55">
        <v>3</v>
      </c>
      <c r="S10" s="102" t="s">
        <v>267</v>
      </c>
      <c r="T10" s="39">
        <v>1</v>
      </c>
      <c r="U10" s="40">
        <v>1</v>
      </c>
      <c r="V10" s="40">
        <v>5</v>
      </c>
      <c r="W10" s="40">
        <v>0</v>
      </c>
      <c r="X10" s="40">
        <v>1</v>
      </c>
      <c r="Y10" s="40">
        <v>0</v>
      </c>
      <c r="Z10" s="40">
        <v>1</v>
      </c>
      <c r="AA10" s="55">
        <v>1</v>
      </c>
      <c r="AB10" s="133" t="s">
        <v>266</v>
      </c>
      <c r="AC10" s="14"/>
      <c r="AD10" s="51">
        <f>AVERAGE(T10,K10,B10)</f>
      </c>
      <c r="AE10" s="232">
        <f>AVERAGE(T10-U10,K10-L10,B10-C10)</f>
      </c>
      <c r="AF10" s="232">
        <f>AVERAGE(AD8:AD11)</f>
      </c>
      <c r="AG10" s="237">
        <f>AVERAGE(AE8:AE11)</f>
      </c>
      <c r="AH10" s="230"/>
      <c r="AI10" s="51">
        <f>AVERAGE(Z10,Q10,H10)</f>
      </c>
      <c r="AJ10" s="232">
        <f>AVERAGE(Z10-AA10,Q10-R10,H10-I10)</f>
      </c>
      <c r="AK10" s="232">
        <f>AVERAGE(AI8:AI11)</f>
      </c>
      <c r="AL10" s="237">
        <f>AVERAGE(AJ8:AJ11)</f>
      </c>
    </row>
    <row x14ac:dyDescent="0.25" r="11" customHeight="1" ht="305">
      <c r="A11" s="297" t="s">
        <v>50</v>
      </c>
      <c r="B11" s="59">
        <v>1</v>
      </c>
      <c r="C11" s="60">
        <v>1</v>
      </c>
      <c r="D11" s="60">
        <v>8</v>
      </c>
      <c r="E11" s="60">
        <v>0</v>
      </c>
      <c r="F11" s="60">
        <v>1</v>
      </c>
      <c r="G11" s="60">
        <v>1</v>
      </c>
      <c r="H11" s="60">
        <v>4</v>
      </c>
      <c r="I11" s="62">
        <v>3</v>
      </c>
      <c r="J11" s="111" t="s">
        <v>268</v>
      </c>
      <c r="K11" s="59">
        <v>0</v>
      </c>
      <c r="L11" s="60">
        <v>0</v>
      </c>
      <c r="M11" s="60">
        <v>7</v>
      </c>
      <c r="N11" s="60">
        <v>0</v>
      </c>
      <c r="O11" s="60">
        <v>1</v>
      </c>
      <c r="P11" s="60">
        <v>2</v>
      </c>
      <c r="Q11" s="60">
        <v>3</v>
      </c>
      <c r="R11" s="62">
        <v>1</v>
      </c>
      <c r="S11" s="255" t="s">
        <v>269</v>
      </c>
      <c r="T11" s="59">
        <v>2</v>
      </c>
      <c r="U11" s="60">
        <v>2</v>
      </c>
      <c r="V11" s="60">
        <v>7</v>
      </c>
      <c r="W11" s="60">
        <v>0</v>
      </c>
      <c r="X11" s="60">
        <v>1</v>
      </c>
      <c r="Y11" s="60">
        <v>0</v>
      </c>
      <c r="Z11" s="60">
        <v>1</v>
      </c>
      <c r="AA11" s="62">
        <v>1</v>
      </c>
      <c r="AB11" s="302" t="s">
        <v>270</v>
      </c>
      <c r="AC11" s="14"/>
      <c r="AD11" s="78">
        <f>AVERAGE(T11,K11,B11)</f>
      </c>
      <c r="AE11" s="247">
        <f>AVERAGE(T11-U11,K11-L11,B11-C11)</f>
      </c>
      <c r="AF11" s="248"/>
      <c r="AG11" s="249"/>
      <c r="AH11" s="230"/>
      <c r="AI11" s="78">
        <f>AVERAGE(Z11,Q11,H11)</f>
      </c>
      <c r="AJ11" s="247">
        <f>AVERAGE(Z11-AA11,Q11-R11,H11-I11)</f>
      </c>
      <c r="AK11" s="248"/>
      <c r="AL11" s="249"/>
    </row>
    <row x14ac:dyDescent="0.25" r="12" customHeight="1" ht="181">
      <c r="A12" s="241" t="s">
        <v>54</v>
      </c>
      <c r="B12" s="242">
        <v>0</v>
      </c>
      <c r="C12" s="243">
        <v>0</v>
      </c>
      <c r="D12" s="243">
        <v>5</v>
      </c>
      <c r="E12" s="243">
        <v>0</v>
      </c>
      <c r="F12" s="243">
        <v>1</v>
      </c>
      <c r="G12" s="243">
        <v>0</v>
      </c>
      <c r="H12" s="243">
        <v>2</v>
      </c>
      <c r="I12" s="251">
        <v>2</v>
      </c>
      <c r="J12" s="102" t="s">
        <v>55</v>
      </c>
      <c r="K12" s="303">
        <v>2</v>
      </c>
      <c r="L12" s="92">
        <v>2</v>
      </c>
      <c r="M12" s="92">
        <v>5</v>
      </c>
      <c r="N12" s="92">
        <v>0</v>
      </c>
      <c r="O12" s="92">
        <v>1</v>
      </c>
      <c r="P12" s="92">
        <v>0</v>
      </c>
      <c r="Q12" s="92">
        <v>2</v>
      </c>
      <c r="R12" s="126">
        <v>2</v>
      </c>
      <c r="S12" s="104" t="s">
        <v>271</v>
      </c>
      <c r="T12" s="125">
        <v>0</v>
      </c>
      <c r="U12" s="92">
        <v>0</v>
      </c>
      <c r="V12" s="92">
        <v>5</v>
      </c>
      <c r="W12" s="92">
        <v>0</v>
      </c>
      <c r="X12" s="92">
        <v>1</v>
      </c>
      <c r="Y12" s="92">
        <v>0</v>
      </c>
      <c r="Z12" s="92">
        <v>1</v>
      </c>
      <c r="AA12" s="126">
        <v>1</v>
      </c>
      <c r="AB12" s="304" t="s">
        <v>232</v>
      </c>
      <c r="AC12" s="14"/>
      <c r="AD12" s="226">
        <f>AVERAGE(T12,K12,B12)</f>
      </c>
      <c r="AE12" s="227">
        <f>AVERAGE(T12-U12,K12-L12,B12-C12)</f>
      </c>
      <c r="AF12" s="228"/>
      <c r="AG12" s="229"/>
      <c r="AH12" s="230"/>
      <c r="AI12" s="226">
        <f>AVERAGE(Z12,Q12,H12)</f>
      </c>
      <c r="AJ12" s="227">
        <f>AVERAGE(Z12-AA12,Q12-R12,H12-I12)</f>
      </c>
      <c r="AK12" s="228"/>
      <c r="AL12" s="229"/>
    </row>
    <row x14ac:dyDescent="0.25" r="13" customHeight="1" ht="120">
      <c r="A13" s="245" t="s">
        <v>57</v>
      </c>
      <c r="B13" s="100">
        <v>0</v>
      </c>
      <c r="C13" s="41">
        <v>0</v>
      </c>
      <c r="D13" s="41">
        <v>5</v>
      </c>
      <c r="E13" s="41">
        <v>0</v>
      </c>
      <c r="F13" s="41">
        <v>1</v>
      </c>
      <c r="G13" s="41">
        <v>0</v>
      </c>
      <c r="H13" s="41">
        <v>1</v>
      </c>
      <c r="I13" s="43">
        <v>1</v>
      </c>
      <c r="J13" s="102" t="s">
        <v>272</v>
      </c>
      <c r="K13" s="300">
        <v>2</v>
      </c>
      <c r="L13" s="40">
        <v>2</v>
      </c>
      <c r="M13" s="40">
        <v>12</v>
      </c>
      <c r="N13" s="40">
        <v>2</v>
      </c>
      <c r="O13" s="40">
        <v>1</v>
      </c>
      <c r="P13" s="40">
        <v>0</v>
      </c>
      <c r="Q13" s="40">
        <v>0</v>
      </c>
      <c r="R13" s="55">
        <v>0</v>
      </c>
      <c r="S13" s="105" t="s">
        <v>273</v>
      </c>
      <c r="T13" s="100">
        <v>0</v>
      </c>
      <c r="U13" s="41">
        <v>0</v>
      </c>
      <c r="V13" s="41">
        <v>5</v>
      </c>
      <c r="W13" s="41">
        <v>0</v>
      </c>
      <c r="X13" s="41">
        <v>1</v>
      </c>
      <c r="Y13" s="41">
        <v>0</v>
      </c>
      <c r="Z13" s="41">
        <v>1</v>
      </c>
      <c r="AA13" s="43">
        <v>1</v>
      </c>
      <c r="AB13" s="133" t="s">
        <v>272</v>
      </c>
      <c r="AC13" s="14"/>
      <c r="AD13" s="51">
        <f>AVERAGE(T13,K13,B13)</f>
      </c>
      <c r="AE13" s="232">
        <f>AVERAGE(T13-U13,K13-L13,B13-C13)</f>
      </c>
      <c r="AF13" s="230"/>
      <c r="AG13" s="233"/>
      <c r="AH13" s="230"/>
      <c r="AI13" s="51">
        <f>AVERAGE(Z13,Q13,H13)</f>
      </c>
      <c r="AJ13" s="232">
        <f>AVERAGE(Z13-AA13,Q13-R13,H13-I13)</f>
      </c>
      <c r="AK13" s="230"/>
      <c r="AL13" s="233"/>
    </row>
    <row x14ac:dyDescent="0.25" r="14" customHeight="1" ht="152">
      <c r="A14" s="245" t="s">
        <v>60</v>
      </c>
      <c r="B14" s="100">
        <v>1</v>
      </c>
      <c r="C14" s="41">
        <v>1</v>
      </c>
      <c r="D14" s="41">
        <v>5</v>
      </c>
      <c r="E14" s="41">
        <v>1</v>
      </c>
      <c r="F14" s="41">
        <v>1</v>
      </c>
      <c r="G14" s="41">
        <v>1</v>
      </c>
      <c r="H14" s="41">
        <v>0</v>
      </c>
      <c r="I14" s="43">
        <v>0</v>
      </c>
      <c r="J14" s="102" t="s">
        <v>274</v>
      </c>
      <c r="K14" s="39">
        <v>0</v>
      </c>
      <c r="L14" s="40">
        <v>0</v>
      </c>
      <c r="M14" s="40">
        <v>5</v>
      </c>
      <c r="N14" s="40">
        <v>0</v>
      </c>
      <c r="O14" s="40">
        <v>1</v>
      </c>
      <c r="P14" s="40">
        <v>0</v>
      </c>
      <c r="Q14" s="40">
        <v>0</v>
      </c>
      <c r="R14" s="55">
        <v>0</v>
      </c>
      <c r="S14" s="102"/>
      <c r="T14" s="39">
        <v>0</v>
      </c>
      <c r="U14" s="40">
        <v>0</v>
      </c>
      <c r="V14" s="40">
        <v>5</v>
      </c>
      <c r="W14" s="40">
        <v>0</v>
      </c>
      <c r="X14" s="40">
        <v>1</v>
      </c>
      <c r="Y14" s="40">
        <v>0</v>
      </c>
      <c r="Z14" s="40">
        <v>1</v>
      </c>
      <c r="AA14" s="55">
        <v>1</v>
      </c>
      <c r="AB14" s="244" t="s">
        <v>232</v>
      </c>
      <c r="AC14" s="14"/>
      <c r="AD14" s="51">
        <f>AVERAGE(T14,K14,B14)</f>
      </c>
      <c r="AE14" s="232">
        <f>AVERAGE(T14-U14,K14-L14,B14-C14)</f>
      </c>
      <c r="AF14" s="232">
        <f>AVERAGE(AD12:AD15)</f>
      </c>
      <c r="AG14" s="237">
        <f>AVERAGE(AE12:AE15)</f>
      </c>
      <c r="AH14" s="230"/>
      <c r="AI14" s="51">
        <f>AVERAGE(Z14,Q14,H14)</f>
      </c>
      <c r="AJ14" s="232">
        <f>AVERAGE(Z14-AA14,Q14-R14,H14-I14)</f>
      </c>
      <c r="AK14" s="232">
        <f>AVERAGE(AI12:AI15)</f>
      </c>
      <c r="AL14" s="237">
        <f>AVERAGE(AJ12:AJ15)</f>
      </c>
    </row>
    <row x14ac:dyDescent="0.25" r="15" customHeight="1" ht="311">
      <c r="A15" s="246" t="s">
        <v>62</v>
      </c>
      <c r="B15" s="107">
        <v>1</v>
      </c>
      <c r="C15" s="108">
        <v>1</v>
      </c>
      <c r="D15" s="108">
        <v>5</v>
      </c>
      <c r="E15" s="108">
        <v>0</v>
      </c>
      <c r="F15" s="108">
        <v>1</v>
      </c>
      <c r="G15" s="108">
        <v>0</v>
      </c>
      <c r="H15" s="108">
        <v>4</v>
      </c>
      <c r="I15" s="110">
        <v>4</v>
      </c>
      <c r="J15" s="111" t="s">
        <v>275</v>
      </c>
      <c r="K15" s="65">
        <v>0</v>
      </c>
      <c r="L15" s="66">
        <v>0</v>
      </c>
      <c r="M15" s="66">
        <v>5</v>
      </c>
      <c r="N15" s="66">
        <v>0</v>
      </c>
      <c r="O15" s="66">
        <v>1</v>
      </c>
      <c r="P15" s="66">
        <v>0</v>
      </c>
      <c r="Q15" s="66">
        <v>1</v>
      </c>
      <c r="R15" s="68">
        <v>1</v>
      </c>
      <c r="S15" s="111" t="s">
        <v>35</v>
      </c>
      <c r="T15" s="65">
        <v>1</v>
      </c>
      <c r="U15" s="66">
        <v>1</v>
      </c>
      <c r="V15" s="66">
        <v>4</v>
      </c>
      <c r="W15" s="66">
        <v>0</v>
      </c>
      <c r="X15" s="66">
        <v>1</v>
      </c>
      <c r="Y15" s="66">
        <v>0</v>
      </c>
      <c r="Z15" s="66">
        <v>1</v>
      </c>
      <c r="AA15" s="68">
        <v>1</v>
      </c>
      <c r="AB15" s="299" t="s">
        <v>276</v>
      </c>
      <c r="AC15" s="14"/>
      <c r="AD15" s="78">
        <f>AVERAGE(T15,K15,B15)</f>
      </c>
      <c r="AE15" s="247">
        <f>AVERAGE(T15-U15,K15-L15,B15-C15)</f>
      </c>
      <c r="AF15" s="248"/>
      <c r="AG15" s="249"/>
      <c r="AH15" s="230"/>
      <c r="AI15" s="78">
        <f>AVERAGE(Z15,Q15,H15)</f>
      </c>
      <c r="AJ15" s="247">
        <f>AVERAGE(Z15-AA15,Q15-R15,H15-I15)</f>
      </c>
      <c r="AK15" s="248"/>
      <c r="AL15" s="249"/>
    </row>
  </sheetData>
  <mergeCells count="3">
    <mergeCell ref="B2:J2"/>
    <mergeCell ref="K2:S2"/>
    <mergeCell ref="T2:A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AB35"/>
  <sheetViews>
    <sheetView workbookViewId="0" tabSelected="1"/>
  </sheetViews>
  <sheetFormatPr defaultRowHeight="15" x14ac:dyDescent="0.25"/>
  <cols>
    <col min="1" max="1" style="189" width="26.862142857142857" customWidth="1" bestFit="1"/>
    <col min="2" max="2" style="290" width="9.862142857142858" customWidth="1" bestFit="1"/>
    <col min="3" max="3" style="290" width="10.290714285714287" customWidth="1" bestFit="1"/>
    <col min="4" max="4" style="290" width="10.719285714285713" customWidth="1" bestFit="1"/>
    <col min="5" max="5" style="256" width="10.290714285714287" customWidth="1" bestFit="1"/>
    <col min="6" max="6" style="192" width="10.290714285714287" customWidth="1" bestFit="1"/>
    <col min="7" max="7" style="192" width="11.290714285714287" customWidth="1" bestFit="1"/>
    <col min="8" max="8" style="189" width="48.005" customWidth="1" bestFit="1"/>
    <col min="9" max="9" style="192" width="11.862142857142858" customWidth="1" bestFit="1"/>
    <col min="10" max="10" style="192" width="11.862142857142858" customWidth="1" bestFit="1"/>
    <col min="11" max="11" style="192" width="11.862142857142858" customWidth="1" bestFit="1"/>
    <col min="12" max="12" style="192" width="11.862142857142858" customWidth="1" bestFit="1"/>
    <col min="13" max="13" style="192" width="11.862142857142858" customWidth="1" bestFit="1"/>
    <col min="14" max="14" style="192" width="11.862142857142858" customWidth="1" bestFit="1"/>
    <col min="15" max="15" style="189" width="48.29071428571429" customWidth="1" bestFit="1"/>
    <col min="16" max="16" style="192" width="11.862142857142858" customWidth="1" bestFit="1"/>
    <col min="17" max="17" style="192" width="11.862142857142858" customWidth="1" bestFit="1"/>
    <col min="18" max="18" style="192" width="11.862142857142858" customWidth="1" bestFit="1"/>
    <col min="19" max="19" style="192" width="11.862142857142858" customWidth="1" bestFit="1"/>
    <col min="20" max="20" style="192" width="11.862142857142858" customWidth="1" bestFit="1"/>
    <col min="21" max="21" style="192" width="11.862142857142858" customWidth="1" bestFit="1"/>
    <col min="22" max="22" style="189" width="43.86214285714286" customWidth="1" bestFit="1"/>
    <col min="23" max="23" style="189" width="11.862142857142858" customWidth="1" bestFit="1"/>
    <col min="24" max="24" style="193" width="22.862142857142857" customWidth="1" bestFit="1"/>
    <col min="25" max="25" style="193" width="21.005" customWidth="1" bestFit="1"/>
    <col min="26" max="26" style="189" width="11.862142857142858" customWidth="1" bestFit="1"/>
    <col min="27" max="27" style="193" width="17.862142857142857" customWidth="1" bestFit="1"/>
    <col min="28" max="28" style="193" width="20.005" customWidth="1" bestFit="1"/>
  </cols>
  <sheetData>
    <row x14ac:dyDescent="0.25" r="1" customHeight="1" ht="16.5">
      <c r="A1" s="14"/>
      <c r="B1" s="259"/>
      <c r="C1" s="259"/>
      <c r="D1" s="259"/>
      <c r="E1" s="215"/>
      <c r="F1" s="13"/>
      <c r="G1" s="13"/>
      <c r="H1" s="14"/>
      <c r="I1" s="13"/>
      <c r="J1" s="13"/>
      <c r="K1" s="13"/>
      <c r="L1" s="13"/>
      <c r="M1" s="13"/>
      <c r="N1" s="13"/>
      <c r="O1" s="14"/>
      <c r="P1" s="13"/>
      <c r="Q1" s="13"/>
      <c r="R1" s="13"/>
      <c r="S1" s="13"/>
      <c r="T1" s="13"/>
      <c r="U1" s="13"/>
      <c r="V1" s="14"/>
      <c r="W1" s="14"/>
      <c r="X1" s="15"/>
      <c r="Y1" s="15"/>
      <c r="Z1" s="14"/>
      <c r="AA1" s="15"/>
      <c r="AB1" s="15"/>
    </row>
    <row x14ac:dyDescent="0.25" r="2" customHeight="1" ht="16.5">
      <c r="A2" s="14"/>
      <c r="B2" s="260" t="s">
        <v>15</v>
      </c>
      <c r="C2" s="261"/>
      <c r="D2" s="261"/>
      <c r="E2" s="20"/>
      <c r="F2" s="20"/>
      <c r="G2" s="20"/>
      <c r="H2" s="21"/>
      <c r="I2" s="19" t="s">
        <v>16</v>
      </c>
      <c r="J2" s="20"/>
      <c r="K2" s="20"/>
      <c r="L2" s="20"/>
      <c r="M2" s="20"/>
      <c r="N2" s="20"/>
      <c r="O2" s="21"/>
      <c r="P2" s="19" t="s">
        <v>17</v>
      </c>
      <c r="Q2" s="20"/>
      <c r="R2" s="20"/>
      <c r="S2" s="20"/>
      <c r="T2" s="20"/>
      <c r="U2" s="20"/>
      <c r="V2" s="21"/>
      <c r="W2" s="14"/>
      <c r="X2" s="15"/>
      <c r="Y2" s="15"/>
      <c r="Z2" s="14"/>
      <c r="AA2" s="15"/>
      <c r="AB2" s="15"/>
    </row>
    <row x14ac:dyDescent="0.25" r="3" customHeight="1" ht="16.5">
      <c r="A3" s="112" t="s">
        <v>20</v>
      </c>
      <c r="B3" s="262" t="s">
        <v>198</v>
      </c>
      <c r="C3" s="263" t="s">
        <v>22</v>
      </c>
      <c r="D3" s="263" t="s">
        <v>200</v>
      </c>
      <c r="E3" s="264" t="s">
        <v>24</v>
      </c>
      <c r="F3" s="265" t="s">
        <v>25</v>
      </c>
      <c r="G3" s="266" t="s">
        <v>201</v>
      </c>
      <c r="H3" s="267" t="s">
        <v>203</v>
      </c>
      <c r="I3" s="268" t="s">
        <v>198</v>
      </c>
      <c r="J3" s="264" t="s">
        <v>22</v>
      </c>
      <c r="K3" s="264" t="s">
        <v>200</v>
      </c>
      <c r="L3" s="264" t="s">
        <v>24</v>
      </c>
      <c r="M3" s="265" t="s">
        <v>25</v>
      </c>
      <c r="N3" s="269" t="s">
        <v>201</v>
      </c>
      <c r="O3" s="267" t="s">
        <v>203</v>
      </c>
      <c r="P3" s="113" t="s">
        <v>198</v>
      </c>
      <c r="Q3" s="119" t="s">
        <v>22</v>
      </c>
      <c r="R3" s="119" t="s">
        <v>200</v>
      </c>
      <c r="S3" s="119" t="s">
        <v>24</v>
      </c>
      <c r="T3" s="120" t="s">
        <v>25</v>
      </c>
      <c r="U3" s="116" t="s">
        <v>201</v>
      </c>
      <c r="V3" s="267" t="s">
        <v>203</v>
      </c>
      <c r="W3" s="14"/>
      <c r="X3" s="270" t="s">
        <v>206</v>
      </c>
      <c r="Y3" s="270" t="s">
        <v>208</v>
      </c>
      <c r="Z3" s="271"/>
      <c r="AA3" s="270" t="s">
        <v>210</v>
      </c>
      <c r="AB3" s="270" t="s">
        <v>212</v>
      </c>
    </row>
    <row x14ac:dyDescent="0.25" r="4" customHeight="1" ht="16.5">
      <c r="A4" s="49" t="s">
        <v>67</v>
      </c>
      <c r="B4" s="125">
        <v>0</v>
      </c>
      <c r="C4" s="92">
        <v>2</v>
      </c>
      <c r="D4" s="92">
        <v>0</v>
      </c>
      <c r="E4" s="92">
        <v>1</v>
      </c>
      <c r="F4" s="93">
        <v>0</v>
      </c>
      <c r="G4" s="126">
        <v>0</v>
      </c>
      <c r="H4" s="44"/>
      <c r="I4" s="125">
        <v>1</v>
      </c>
      <c r="J4" s="92">
        <v>2</v>
      </c>
      <c r="K4" s="92">
        <v>0</v>
      </c>
      <c r="L4" s="92">
        <v>1</v>
      </c>
      <c r="M4" s="93">
        <v>0</v>
      </c>
      <c r="N4" s="126">
        <v>1</v>
      </c>
      <c r="O4" s="127" t="s">
        <v>241</v>
      </c>
      <c r="P4" s="103">
        <v>0</v>
      </c>
      <c r="Q4" s="46">
        <v>4</v>
      </c>
      <c r="R4" s="46">
        <v>0</v>
      </c>
      <c r="S4" s="46">
        <v>1</v>
      </c>
      <c r="T4" s="47">
        <v>0</v>
      </c>
      <c r="U4" s="48">
        <v>0</v>
      </c>
      <c r="V4" s="128"/>
      <c r="W4" s="14"/>
      <c r="X4" s="230">
        <f>AVERAGE(P4,I4,B4)</f>
      </c>
      <c r="Y4" s="230"/>
      <c r="Z4" s="230"/>
      <c r="AA4" s="230">
        <f>AVERAGE(U4,N4,G4)</f>
      </c>
      <c r="AB4" s="230"/>
    </row>
    <row x14ac:dyDescent="0.25" r="5" customHeight="1" ht="16.5">
      <c r="A5" s="131" t="s">
        <v>71</v>
      </c>
      <c r="B5" s="39">
        <v>1</v>
      </c>
      <c r="C5" s="40">
        <v>2</v>
      </c>
      <c r="D5" s="132">
        <v>0</v>
      </c>
      <c r="E5" s="272">
        <v>0</v>
      </c>
      <c r="F5" s="42">
        <v>0</v>
      </c>
      <c r="G5" s="55">
        <v>0</v>
      </c>
      <c r="H5" s="56" t="s">
        <v>242</v>
      </c>
      <c r="I5" s="39">
        <v>0</v>
      </c>
      <c r="J5" s="40">
        <v>4</v>
      </c>
      <c r="K5" s="40">
        <v>0</v>
      </c>
      <c r="L5" s="40">
        <v>1</v>
      </c>
      <c r="M5" s="42">
        <v>0</v>
      </c>
      <c r="N5" s="55">
        <v>0</v>
      </c>
      <c r="O5" s="133"/>
      <c r="P5" s="39">
        <v>0</v>
      </c>
      <c r="Q5" s="40">
        <v>5</v>
      </c>
      <c r="R5" s="40">
        <v>0</v>
      </c>
      <c r="S5" s="40">
        <v>1</v>
      </c>
      <c r="T5" s="40">
        <v>0</v>
      </c>
      <c r="U5" s="134">
        <v>0</v>
      </c>
      <c r="V5" s="38"/>
      <c r="W5" s="14"/>
      <c r="X5" s="230">
        <f>AVERAGE(P5,I5,B5)</f>
      </c>
      <c r="Y5" s="230"/>
      <c r="Z5" s="230"/>
      <c r="AA5" s="230">
        <f>AVERAGE(U5,N5,G5)</f>
      </c>
      <c r="AB5" s="230"/>
    </row>
    <row x14ac:dyDescent="0.25" r="6" customHeight="1" ht="16.5">
      <c r="A6" s="135" t="s">
        <v>74</v>
      </c>
      <c r="B6" s="39">
        <v>1</v>
      </c>
      <c r="C6" s="40">
        <v>2</v>
      </c>
      <c r="D6" s="40">
        <v>0</v>
      </c>
      <c r="E6" s="40">
        <v>1</v>
      </c>
      <c r="F6" s="42">
        <v>0</v>
      </c>
      <c r="G6" s="55">
        <v>1</v>
      </c>
      <c r="H6" s="56" t="s">
        <v>243</v>
      </c>
      <c r="I6" s="39">
        <v>0</v>
      </c>
      <c r="J6" s="40">
        <v>4</v>
      </c>
      <c r="K6" s="40">
        <v>0</v>
      </c>
      <c r="L6" s="40">
        <v>1</v>
      </c>
      <c r="M6" s="42">
        <v>0</v>
      </c>
      <c r="N6" s="55">
        <v>2</v>
      </c>
      <c r="O6" s="133" t="s">
        <v>244</v>
      </c>
      <c r="P6" s="136">
        <v>2</v>
      </c>
      <c r="Q6" s="137">
        <v>3</v>
      </c>
      <c r="R6" s="137">
        <v>0</v>
      </c>
      <c r="S6" s="138">
        <v>1</v>
      </c>
      <c r="T6" s="138">
        <v>0</v>
      </c>
      <c r="U6" s="139">
        <v>2</v>
      </c>
      <c r="V6" s="106" t="s">
        <v>245</v>
      </c>
      <c r="W6" s="14"/>
      <c r="X6" s="230">
        <f>AVERAGE(P6,I6,B6)</f>
      </c>
      <c r="Y6" s="230">
        <f>AVERAGE(X4:X7)</f>
      </c>
      <c r="Z6" s="230"/>
      <c r="AA6" s="230">
        <f>AVERAGE(U6,N6,G6)</f>
      </c>
      <c r="AB6" s="230">
        <f>AVERAGE(AA4:AA7)</f>
      </c>
    </row>
    <row x14ac:dyDescent="0.25" r="7" customHeight="1" ht="16.5">
      <c r="A7" s="140" t="s">
        <v>78</v>
      </c>
      <c r="B7" s="65">
        <v>0</v>
      </c>
      <c r="C7" s="66">
        <v>9</v>
      </c>
      <c r="D7" s="66">
        <v>0</v>
      </c>
      <c r="E7" s="66">
        <v>1</v>
      </c>
      <c r="F7" s="67">
        <v>3</v>
      </c>
      <c r="G7" s="68">
        <v>3</v>
      </c>
      <c r="H7" s="77" t="s">
        <v>246</v>
      </c>
      <c r="I7" s="65">
        <v>2</v>
      </c>
      <c r="J7" s="66">
        <v>2</v>
      </c>
      <c r="K7" s="66">
        <v>0</v>
      </c>
      <c r="L7" s="273">
        <v>0</v>
      </c>
      <c r="M7" s="67">
        <v>0</v>
      </c>
      <c r="N7" s="68">
        <v>2</v>
      </c>
      <c r="O7" s="141" t="s">
        <v>247</v>
      </c>
      <c r="P7" s="65">
        <v>3</v>
      </c>
      <c r="Q7" s="66">
        <v>3</v>
      </c>
      <c r="R7" s="66">
        <v>0</v>
      </c>
      <c r="S7" s="273">
        <v>0</v>
      </c>
      <c r="T7" s="67">
        <v>0</v>
      </c>
      <c r="U7" s="68">
        <v>1</v>
      </c>
      <c r="V7" s="69" t="s">
        <v>248</v>
      </c>
      <c r="W7" s="14"/>
      <c r="X7" s="230">
        <f>AVERAGE(P7,I7,B7)</f>
      </c>
      <c r="Y7" s="230"/>
      <c r="Z7" s="230"/>
      <c r="AA7" s="230">
        <f>AVERAGE(U7,N7,G7)</f>
      </c>
      <c r="AB7" s="230"/>
    </row>
    <row x14ac:dyDescent="0.25" r="8" customHeight="1" ht="246">
      <c r="A8" s="44" t="s">
        <v>82</v>
      </c>
      <c r="B8" s="242">
        <v>1</v>
      </c>
      <c r="C8" s="92">
        <v>5</v>
      </c>
      <c r="D8" s="92">
        <v>0</v>
      </c>
      <c r="E8" s="274">
        <v>0</v>
      </c>
      <c r="F8" s="93">
        <v>2</v>
      </c>
      <c r="G8" s="126">
        <v>4</v>
      </c>
      <c r="H8" s="44" t="s">
        <v>249</v>
      </c>
      <c r="I8" s="125">
        <v>0</v>
      </c>
      <c r="J8" s="92">
        <v>8</v>
      </c>
      <c r="K8" s="92">
        <v>0</v>
      </c>
      <c r="L8" s="92">
        <v>1</v>
      </c>
      <c r="M8" s="93">
        <v>2</v>
      </c>
      <c r="N8" s="126">
        <v>3</v>
      </c>
      <c r="O8" s="144" t="s">
        <v>250</v>
      </c>
      <c r="P8" s="103">
        <v>0</v>
      </c>
      <c r="Q8" s="46">
        <v>8</v>
      </c>
      <c r="R8" s="46">
        <v>0</v>
      </c>
      <c r="S8" s="46">
        <v>1</v>
      </c>
      <c r="T8" s="47">
        <v>3</v>
      </c>
      <c r="U8" s="48">
        <v>3</v>
      </c>
      <c r="V8" s="106" t="s">
        <v>246</v>
      </c>
      <c r="W8" s="14"/>
      <c r="X8" s="230">
        <f>AVERAGE(P8,I8,B8)</f>
      </c>
      <c r="Y8" s="230"/>
      <c r="Z8" s="230"/>
      <c r="AA8" s="230">
        <f>AVERAGE(U8,N8,G8)</f>
      </c>
      <c r="AB8" s="230"/>
    </row>
    <row x14ac:dyDescent="0.25" r="9" customHeight="1" ht="16.5">
      <c r="A9" s="56" t="s">
        <v>84</v>
      </c>
      <c r="B9" s="100">
        <v>0</v>
      </c>
      <c r="C9" s="40">
        <v>7</v>
      </c>
      <c r="D9" s="40">
        <v>0</v>
      </c>
      <c r="E9" s="40">
        <v>1</v>
      </c>
      <c r="F9" s="42">
        <v>1</v>
      </c>
      <c r="G9" s="55">
        <v>1</v>
      </c>
      <c r="H9" s="63" t="s">
        <v>215</v>
      </c>
      <c r="I9" s="39">
        <v>0</v>
      </c>
      <c r="J9" s="40">
        <v>8</v>
      </c>
      <c r="K9" s="40">
        <v>0</v>
      </c>
      <c r="L9" s="40">
        <v>1</v>
      </c>
      <c r="M9" s="42">
        <v>2</v>
      </c>
      <c r="N9" s="55">
        <v>3</v>
      </c>
      <c r="O9" s="133" t="s">
        <v>251</v>
      </c>
      <c r="P9" s="39">
        <v>0</v>
      </c>
      <c r="Q9" s="40">
        <v>8</v>
      </c>
      <c r="R9" s="40">
        <v>0</v>
      </c>
      <c r="S9" s="40">
        <v>1</v>
      </c>
      <c r="T9" s="42">
        <v>2</v>
      </c>
      <c r="U9" s="55">
        <v>3</v>
      </c>
      <c r="V9" s="56" t="s">
        <v>251</v>
      </c>
      <c r="W9" s="14"/>
      <c r="X9" s="230">
        <f>AVERAGE(P9,I9,B9)</f>
      </c>
      <c r="Y9" s="230"/>
      <c r="Z9" s="230"/>
      <c r="AA9" s="230">
        <f>AVERAGE(U9,N9,G9)</f>
      </c>
      <c r="AB9" s="230"/>
    </row>
    <row x14ac:dyDescent="0.25" r="10" customHeight="1" ht="16.5">
      <c r="A10" s="56" t="s">
        <v>88</v>
      </c>
      <c r="B10" s="100">
        <v>0</v>
      </c>
      <c r="C10" s="40">
        <v>7</v>
      </c>
      <c r="D10" s="40">
        <v>0</v>
      </c>
      <c r="E10" s="40">
        <v>1</v>
      </c>
      <c r="F10" s="42">
        <v>2</v>
      </c>
      <c r="G10" s="55">
        <v>2</v>
      </c>
      <c r="H10" s="106" t="s">
        <v>231</v>
      </c>
      <c r="I10" s="39">
        <v>2</v>
      </c>
      <c r="J10" s="40">
        <v>6</v>
      </c>
      <c r="K10" s="40">
        <v>0</v>
      </c>
      <c r="L10" s="272">
        <v>0</v>
      </c>
      <c r="M10" s="42">
        <v>2</v>
      </c>
      <c r="N10" s="55">
        <v>2</v>
      </c>
      <c r="O10" s="133" t="s">
        <v>252</v>
      </c>
      <c r="P10" s="39">
        <v>1</v>
      </c>
      <c r="Q10" s="40">
        <v>5</v>
      </c>
      <c r="R10" s="40">
        <v>0</v>
      </c>
      <c r="S10" s="272">
        <v>0</v>
      </c>
      <c r="T10" s="42">
        <v>1</v>
      </c>
      <c r="U10" s="55">
        <v>1</v>
      </c>
      <c r="V10" s="56" t="s">
        <v>253</v>
      </c>
      <c r="W10" s="14"/>
      <c r="X10" s="230">
        <f>AVERAGE(P10,I10,B10)</f>
      </c>
      <c r="Y10" s="230">
        <f>AVERAGE(X8:X11)</f>
      </c>
      <c r="Z10" s="230"/>
      <c r="AA10" s="230">
        <f>AVERAGE(U10,N10,G10)</f>
      </c>
      <c r="AB10" s="230">
        <f>AVERAGE(AA8:AA11)</f>
      </c>
    </row>
    <row x14ac:dyDescent="0.25" r="11" customHeight="1" ht="16.5">
      <c r="A11" s="69" t="s">
        <v>92</v>
      </c>
      <c r="B11" s="65">
        <v>0</v>
      </c>
      <c r="C11" s="66">
        <v>6</v>
      </c>
      <c r="D11" s="66">
        <v>0</v>
      </c>
      <c r="E11" s="66">
        <v>1</v>
      </c>
      <c r="F11" s="67">
        <v>2</v>
      </c>
      <c r="G11" s="68">
        <v>2</v>
      </c>
      <c r="H11" s="77" t="s">
        <v>231</v>
      </c>
      <c r="I11" s="65">
        <v>0</v>
      </c>
      <c r="J11" s="66">
        <v>8</v>
      </c>
      <c r="K11" s="66">
        <v>0</v>
      </c>
      <c r="L11" s="66">
        <v>1</v>
      </c>
      <c r="M11" s="67">
        <v>4</v>
      </c>
      <c r="N11" s="68">
        <v>5</v>
      </c>
      <c r="O11" s="141" t="s">
        <v>254</v>
      </c>
      <c r="P11" s="65">
        <v>0</v>
      </c>
      <c r="Q11" s="66">
        <v>7</v>
      </c>
      <c r="R11" s="66">
        <v>0</v>
      </c>
      <c r="S11" s="66">
        <v>1</v>
      </c>
      <c r="T11" s="67">
        <v>3</v>
      </c>
      <c r="U11" s="68">
        <v>4</v>
      </c>
      <c r="V11" s="69" t="s">
        <v>255</v>
      </c>
      <c r="W11" s="14"/>
      <c r="X11" s="230">
        <f>AVERAGE(P11,I11,B11)</f>
      </c>
      <c r="Y11" s="230"/>
      <c r="Z11" s="230"/>
      <c r="AA11" s="230">
        <f>AVERAGE(U11,N11,G11)</f>
      </c>
      <c r="AB11" s="230"/>
    </row>
    <row x14ac:dyDescent="0.25" r="12" customHeight="1" ht="63">
      <c r="A12" s="95" t="s">
        <v>96</v>
      </c>
      <c r="B12" s="147">
        <v>0</v>
      </c>
      <c r="C12" s="148">
        <v>5</v>
      </c>
      <c r="D12" s="148">
        <v>0</v>
      </c>
      <c r="E12" s="148">
        <v>1</v>
      </c>
      <c r="F12" s="149">
        <v>1</v>
      </c>
      <c r="G12" s="150">
        <v>1</v>
      </c>
      <c r="H12" s="50" t="s">
        <v>215</v>
      </c>
      <c r="I12" s="147">
        <v>0</v>
      </c>
      <c r="J12" s="148">
        <v>5</v>
      </c>
      <c r="K12" s="148">
        <v>0</v>
      </c>
      <c r="L12" s="148">
        <v>1</v>
      </c>
      <c r="M12" s="149">
        <v>1</v>
      </c>
      <c r="N12" s="150">
        <v>1</v>
      </c>
      <c r="O12" s="94" t="s">
        <v>215</v>
      </c>
      <c r="P12" s="57">
        <v>0</v>
      </c>
      <c r="Q12" s="40">
        <v>7</v>
      </c>
      <c r="R12" s="40">
        <v>0</v>
      </c>
      <c r="S12" s="40">
        <v>1</v>
      </c>
      <c r="T12" s="42">
        <v>3</v>
      </c>
      <c r="U12" s="55">
        <v>3</v>
      </c>
      <c r="V12" s="106" t="s">
        <v>246</v>
      </c>
      <c r="W12" s="14"/>
      <c r="X12" s="230">
        <f>AVERAGE(P12,I12,B12)</f>
      </c>
      <c r="Y12" s="230"/>
      <c r="Z12" s="230"/>
      <c r="AA12" s="230">
        <f>AVERAGE(U12,N12,G12)</f>
      </c>
      <c r="AB12" s="230"/>
    </row>
    <row x14ac:dyDescent="0.25" r="13" customHeight="1" ht="65">
      <c r="A13" s="56" t="s">
        <v>233</v>
      </c>
      <c r="B13" s="155">
        <v>1</v>
      </c>
      <c r="C13" s="156">
        <v>5</v>
      </c>
      <c r="D13" s="156">
        <v>0</v>
      </c>
      <c r="E13" s="156">
        <v>1</v>
      </c>
      <c r="F13" s="157">
        <v>0</v>
      </c>
      <c r="G13" s="158">
        <v>0</v>
      </c>
      <c r="H13" s="63" t="s">
        <v>256</v>
      </c>
      <c r="I13" s="159">
        <v>1</v>
      </c>
      <c r="J13" s="60">
        <v>5</v>
      </c>
      <c r="K13" s="60">
        <v>0</v>
      </c>
      <c r="L13" s="60">
        <v>1</v>
      </c>
      <c r="M13" s="61">
        <v>0</v>
      </c>
      <c r="N13" s="61">
        <v>0</v>
      </c>
      <c r="O13" s="63" t="s">
        <v>256</v>
      </c>
      <c r="P13" s="155">
        <v>1</v>
      </c>
      <c r="Q13" s="156">
        <v>5</v>
      </c>
      <c r="R13" s="156">
        <v>0</v>
      </c>
      <c r="S13" s="156">
        <v>1</v>
      </c>
      <c r="T13" s="157">
        <v>0</v>
      </c>
      <c r="U13" s="158">
        <v>0</v>
      </c>
      <c r="V13" s="63" t="s">
        <v>256</v>
      </c>
      <c r="W13" s="14"/>
      <c r="X13" s="230">
        <f>AVERAGE(P13,I13,B13)</f>
      </c>
      <c r="Y13" s="230"/>
      <c r="Z13" s="230"/>
      <c r="AA13" s="230">
        <f>AVERAGE(U13,N13,G13)</f>
      </c>
      <c r="AB13" s="230"/>
    </row>
    <row x14ac:dyDescent="0.25" r="14" customHeight="1" ht="16.5">
      <c r="A14" s="56" t="s">
        <v>236</v>
      </c>
      <c r="B14" s="155">
        <v>2</v>
      </c>
      <c r="C14" s="156">
        <v>5</v>
      </c>
      <c r="D14" s="156">
        <v>0</v>
      </c>
      <c r="E14" s="275">
        <v>0</v>
      </c>
      <c r="F14" s="157">
        <v>2</v>
      </c>
      <c r="G14" s="158">
        <v>3</v>
      </c>
      <c r="H14" s="63" t="s">
        <v>257</v>
      </c>
      <c r="I14" s="159">
        <v>3</v>
      </c>
      <c r="J14" s="60">
        <v>13</v>
      </c>
      <c r="K14" s="60">
        <v>0</v>
      </c>
      <c r="L14" s="276">
        <v>0</v>
      </c>
      <c r="M14" s="61">
        <v>6</v>
      </c>
      <c r="N14" s="61">
        <v>7</v>
      </c>
      <c r="O14" s="63" t="s">
        <v>258</v>
      </c>
      <c r="P14" s="159">
        <v>1</v>
      </c>
      <c r="Q14" s="60">
        <v>6</v>
      </c>
      <c r="R14" s="60">
        <v>0</v>
      </c>
      <c r="S14" s="276">
        <v>0</v>
      </c>
      <c r="T14" s="61">
        <v>3</v>
      </c>
      <c r="U14" s="62">
        <v>4</v>
      </c>
      <c r="V14" s="63" t="s">
        <v>259</v>
      </c>
      <c r="W14" s="14"/>
      <c r="X14" s="230">
        <f>AVERAGE(P14,I14,B14)</f>
      </c>
      <c r="Y14" s="230">
        <f>AVERAGE(X12:X15)</f>
      </c>
      <c r="Z14" s="230"/>
      <c r="AA14" s="230">
        <f>AVERAGE(U14,N14,G14)</f>
      </c>
      <c r="AB14" s="230">
        <f>AVERAGE(AA12:AA15)</f>
      </c>
    </row>
    <row x14ac:dyDescent="0.25" r="15" customHeight="1" ht="16.5">
      <c r="A15" s="69" t="s">
        <v>105</v>
      </c>
      <c r="B15" s="160">
        <v>0</v>
      </c>
      <c r="C15" s="108">
        <v>4</v>
      </c>
      <c r="D15" s="108">
        <v>0</v>
      </c>
      <c r="E15" s="108">
        <v>1</v>
      </c>
      <c r="F15" s="109">
        <v>2</v>
      </c>
      <c r="G15" s="110">
        <v>4</v>
      </c>
      <c r="H15" s="69" t="s">
        <v>260</v>
      </c>
      <c r="I15" s="97">
        <v>0</v>
      </c>
      <c r="J15" s="66">
        <v>6</v>
      </c>
      <c r="K15" s="66">
        <v>0</v>
      </c>
      <c r="L15" s="66">
        <v>1</v>
      </c>
      <c r="M15" s="67">
        <v>2</v>
      </c>
      <c r="N15" s="67">
        <v>2</v>
      </c>
      <c r="O15" s="77" t="s">
        <v>231</v>
      </c>
      <c r="P15" s="97">
        <v>0</v>
      </c>
      <c r="Q15" s="66">
        <v>6</v>
      </c>
      <c r="R15" s="66">
        <v>0</v>
      </c>
      <c r="S15" s="66">
        <v>1</v>
      </c>
      <c r="T15" s="67">
        <v>2</v>
      </c>
      <c r="U15" s="68">
        <v>2</v>
      </c>
      <c r="V15" s="77" t="s">
        <v>231</v>
      </c>
      <c r="W15" s="14"/>
      <c r="X15" s="230">
        <f>AVERAGE(P15,I15,B15)</f>
      </c>
      <c r="Y15" s="230"/>
      <c r="Z15" s="230"/>
      <c r="AA15" s="230">
        <f>AVERAGE(U15,N15,G15)</f>
      </c>
      <c r="AB15" s="230"/>
    </row>
    <row x14ac:dyDescent="0.25" r="16" customHeight="1" ht="16.5">
      <c r="A16" s="14"/>
      <c r="B16" s="259"/>
      <c r="C16" s="259"/>
      <c r="D16" s="259"/>
      <c r="E16" s="215"/>
      <c r="F16" s="13"/>
      <c r="G16" s="13"/>
      <c r="H16" s="14"/>
      <c r="I16" s="13"/>
      <c r="J16" s="13"/>
      <c r="K16" s="13"/>
      <c r="L16" s="13"/>
      <c r="M16" s="13"/>
      <c r="N16" s="13"/>
      <c r="O16" s="14"/>
      <c r="P16" s="13"/>
      <c r="Q16" s="13"/>
      <c r="R16" s="13"/>
      <c r="S16" s="13"/>
      <c r="T16" s="13"/>
      <c r="U16" s="13"/>
      <c r="V16" s="14"/>
      <c r="W16" s="14"/>
      <c r="X16" s="15"/>
      <c r="Y16" s="15"/>
      <c r="Z16" s="14"/>
      <c r="AA16" s="15"/>
      <c r="AB16" s="15"/>
    </row>
    <row x14ac:dyDescent="0.25" r="17" customHeight="1" ht="16.5">
      <c r="A17" s="14"/>
      <c r="B17" s="259"/>
      <c r="C17" s="259"/>
      <c r="D17" s="259"/>
      <c r="E17" s="215"/>
      <c r="F17" s="13"/>
      <c r="G17" s="13"/>
      <c r="H17" s="14"/>
      <c r="I17" s="13"/>
      <c r="J17" s="13"/>
      <c r="K17" s="13"/>
      <c r="L17" s="13"/>
      <c r="M17" s="13"/>
      <c r="N17" s="13"/>
      <c r="O17" s="14"/>
      <c r="P17" s="13"/>
      <c r="Q17" s="13"/>
      <c r="R17" s="13"/>
      <c r="S17" s="13"/>
      <c r="T17" s="13"/>
      <c r="U17" s="13"/>
      <c r="V17" s="14"/>
      <c r="W17" s="14"/>
      <c r="X17" s="15"/>
      <c r="Y17" s="15"/>
      <c r="Z17" s="14"/>
      <c r="AA17" s="15"/>
      <c r="AB17" s="15"/>
    </row>
    <row x14ac:dyDescent="0.25" r="18" customHeight="1" ht="16.5">
      <c r="A18" s="14"/>
      <c r="B18" s="259"/>
      <c r="C18" s="259"/>
      <c r="D18" s="259"/>
      <c r="E18" s="215"/>
      <c r="F18" s="13"/>
      <c r="G18" s="13"/>
      <c r="H18" s="14"/>
      <c r="I18" s="13"/>
      <c r="J18" s="13"/>
      <c r="K18" s="13"/>
      <c r="L18" s="13"/>
      <c r="M18" s="13"/>
      <c r="N18" s="13"/>
      <c r="O18" s="14"/>
      <c r="P18" s="13"/>
      <c r="Q18" s="13"/>
      <c r="R18" s="13"/>
      <c r="S18" s="13"/>
      <c r="T18" s="13"/>
      <c r="U18" s="13"/>
      <c r="V18" s="14"/>
      <c r="W18" s="14"/>
      <c r="X18" s="15"/>
      <c r="Y18" s="15"/>
      <c r="Z18" s="14"/>
      <c r="AA18" s="15"/>
      <c r="AB18" s="15"/>
    </row>
    <row x14ac:dyDescent="0.25" r="19" customHeight="1" ht="16.5">
      <c r="A19" s="14"/>
      <c r="B19" s="259"/>
      <c r="C19" s="259"/>
      <c r="D19" s="259"/>
      <c r="E19" s="215"/>
      <c r="F19" s="13"/>
      <c r="G19" s="13"/>
      <c r="H19" s="14"/>
      <c r="I19" s="13"/>
      <c r="J19" s="13"/>
      <c r="K19" s="13"/>
      <c r="L19" s="13"/>
      <c r="M19" s="13"/>
      <c r="N19" s="13"/>
      <c r="O19" s="14"/>
      <c r="P19" s="13"/>
      <c r="Q19" s="13"/>
      <c r="R19" s="13"/>
      <c r="S19" s="13"/>
      <c r="T19" s="13"/>
      <c r="U19" s="13"/>
      <c r="V19" s="14"/>
      <c r="W19" s="14"/>
      <c r="X19" s="15"/>
      <c r="Y19" s="15"/>
      <c r="Z19" s="14"/>
      <c r="AA19" s="15"/>
      <c r="AB19" s="15"/>
    </row>
    <row x14ac:dyDescent="0.25" r="20" customHeight="1" ht="16.5">
      <c r="A20" s="14"/>
      <c r="B20" s="277" t="s">
        <v>261</v>
      </c>
      <c r="C20" s="277" t="s">
        <v>261</v>
      </c>
      <c r="D20" s="277" t="s">
        <v>261</v>
      </c>
      <c r="E20" s="278" t="s">
        <v>261</v>
      </c>
      <c r="F20" s="13"/>
      <c r="G20" s="13"/>
      <c r="H20" s="14"/>
      <c r="I20" s="13"/>
      <c r="J20" s="13"/>
      <c r="K20" s="13"/>
      <c r="L20" s="13"/>
      <c r="M20" s="13"/>
      <c r="N20" s="13"/>
      <c r="O20" s="14"/>
      <c r="P20" s="13"/>
      <c r="Q20" s="13"/>
      <c r="R20" s="13"/>
      <c r="S20" s="13"/>
      <c r="T20" s="13"/>
      <c r="U20" s="13"/>
      <c r="V20" s="14"/>
      <c r="W20" s="14"/>
      <c r="X20" s="15"/>
      <c r="Y20" s="15"/>
      <c r="Z20" s="14"/>
      <c r="AA20" s="15"/>
      <c r="AB20" s="15"/>
    </row>
    <row x14ac:dyDescent="0.25" r="21" customHeight="1" ht="16.5">
      <c r="A21" s="279" t="s">
        <v>261</v>
      </c>
      <c r="B21" s="132"/>
      <c r="C21" s="132"/>
      <c r="D21" s="132"/>
      <c r="E21" s="278" t="s">
        <v>261</v>
      </c>
      <c r="F21" s="13"/>
      <c r="G21" s="13"/>
      <c r="H21" s="14"/>
      <c r="I21" s="13"/>
      <c r="J21" s="13"/>
      <c r="K21" s="13"/>
      <c r="L21" s="13"/>
      <c r="M21" s="13"/>
      <c r="N21" s="13"/>
      <c r="O21" s="14"/>
      <c r="P21" s="13"/>
      <c r="Q21" s="13"/>
      <c r="R21" s="13"/>
      <c r="S21" s="13"/>
      <c r="T21" s="13"/>
      <c r="U21" s="13"/>
      <c r="V21" s="14"/>
      <c r="W21" s="14"/>
      <c r="X21" s="15"/>
      <c r="Y21" s="15"/>
      <c r="Z21" s="14"/>
      <c r="AA21" s="15"/>
      <c r="AB21" s="15"/>
    </row>
    <row x14ac:dyDescent="0.25" r="22" customHeight="1" ht="16.5">
      <c r="A22" s="279" t="s">
        <v>261</v>
      </c>
      <c r="B22" s="132"/>
      <c r="C22" s="132"/>
      <c r="D22" s="132"/>
      <c r="E22" s="278" t="s">
        <v>261</v>
      </c>
      <c r="F22" s="13"/>
      <c r="G22" s="13"/>
      <c r="H22" s="14"/>
      <c r="I22" s="13"/>
      <c r="J22" s="13"/>
      <c r="K22" s="13"/>
      <c r="L22" s="13"/>
      <c r="M22" s="13"/>
      <c r="N22" s="13"/>
      <c r="O22" s="14"/>
      <c r="P22" s="13"/>
      <c r="Q22" s="13"/>
      <c r="R22" s="13"/>
      <c r="S22" s="13"/>
      <c r="T22" s="13"/>
      <c r="U22" s="13"/>
      <c r="V22" s="14"/>
      <c r="W22" s="14"/>
      <c r="X22" s="15"/>
      <c r="Y22" s="15"/>
      <c r="Z22" s="14"/>
      <c r="AA22" s="15"/>
      <c r="AB22" s="15"/>
    </row>
    <row x14ac:dyDescent="0.25" r="23" customHeight="1" ht="16.5">
      <c r="A23" s="279" t="s">
        <v>261</v>
      </c>
      <c r="B23" s="132"/>
      <c r="C23" s="132"/>
      <c r="D23" s="132"/>
      <c r="E23" s="278" t="s">
        <v>261</v>
      </c>
      <c r="F23" s="13"/>
      <c r="G23" s="13"/>
      <c r="H23" s="14"/>
      <c r="I23" s="13"/>
      <c r="J23" s="13"/>
      <c r="K23" s="13"/>
      <c r="L23" s="13"/>
      <c r="M23" s="13"/>
      <c r="N23" s="13"/>
      <c r="O23" s="14"/>
      <c r="P23" s="13"/>
      <c r="Q23" s="13"/>
      <c r="R23" s="13"/>
      <c r="S23" s="13"/>
      <c r="T23" s="13"/>
      <c r="U23" s="13"/>
      <c r="V23" s="14"/>
      <c r="W23" s="14"/>
      <c r="X23" s="15"/>
      <c r="Y23" s="15"/>
      <c r="Z23" s="14"/>
      <c r="AA23" s="15"/>
      <c r="AB23" s="15"/>
    </row>
    <row x14ac:dyDescent="0.25" r="24" customHeight="1" ht="16.5">
      <c r="A24" s="14"/>
      <c r="B24" s="280"/>
      <c r="C24" s="280"/>
      <c r="D24" s="280"/>
      <c r="E24" s="132"/>
      <c r="F24" s="13"/>
      <c r="G24" s="13"/>
      <c r="H24" s="14"/>
      <c r="I24" s="13"/>
      <c r="J24" s="13"/>
      <c r="K24" s="13"/>
      <c r="L24" s="13"/>
      <c r="M24" s="13"/>
      <c r="N24" s="13"/>
      <c r="O24" s="14"/>
      <c r="P24" s="13"/>
      <c r="Q24" s="13"/>
      <c r="R24" s="13"/>
      <c r="S24" s="13"/>
      <c r="T24" s="13"/>
      <c r="U24" s="13"/>
      <c r="V24" s="14"/>
      <c r="W24" s="14"/>
      <c r="X24" s="15"/>
      <c r="Y24" s="15"/>
      <c r="Z24" s="14"/>
      <c r="AA24" s="15"/>
      <c r="AB24" s="15"/>
    </row>
    <row x14ac:dyDescent="0.25" r="25" customHeight="1" ht="16.5">
      <c r="A25" s="279" t="s">
        <v>261</v>
      </c>
      <c r="B25" s="278" t="s">
        <v>261</v>
      </c>
      <c r="C25" s="278" t="s">
        <v>261</v>
      </c>
      <c r="D25" s="278" t="s">
        <v>261</v>
      </c>
      <c r="E25" s="132"/>
      <c r="F25" s="13"/>
      <c r="G25" s="13"/>
      <c r="H25" s="14"/>
      <c r="I25" s="13"/>
      <c r="J25" s="13"/>
      <c r="K25" s="13"/>
      <c r="L25" s="13"/>
      <c r="M25" s="13"/>
      <c r="N25" s="13"/>
      <c r="O25" s="14"/>
      <c r="P25" s="13"/>
      <c r="Q25" s="13"/>
      <c r="R25" s="13"/>
      <c r="S25" s="13"/>
      <c r="T25" s="13"/>
      <c r="U25" s="13"/>
      <c r="V25" s="14"/>
      <c r="W25" s="14"/>
      <c r="X25" s="15"/>
      <c r="Y25" s="15"/>
      <c r="Z25" s="14"/>
      <c r="AA25" s="15"/>
      <c r="AB25" s="15"/>
    </row>
    <row x14ac:dyDescent="0.25" r="26" customHeight="1" ht="16.5">
      <c r="A26" s="281" t="s">
        <v>261</v>
      </c>
      <c r="B26" s="282" t="s">
        <v>261</v>
      </c>
      <c r="C26" s="282" t="s">
        <v>261</v>
      </c>
      <c r="D26" s="282" t="s">
        <v>261</v>
      </c>
      <c r="E26" s="132"/>
      <c r="F26" s="13"/>
      <c r="G26" s="13"/>
      <c r="H26" s="14"/>
      <c r="I26" s="13"/>
      <c r="J26" s="13"/>
      <c r="K26" s="13"/>
      <c r="L26" s="13"/>
      <c r="M26" s="13"/>
      <c r="N26" s="13"/>
      <c r="O26" s="14"/>
      <c r="P26" s="13"/>
      <c r="Q26" s="13"/>
      <c r="R26" s="13"/>
      <c r="S26" s="13"/>
      <c r="T26" s="13"/>
      <c r="U26" s="13"/>
      <c r="V26" s="14"/>
      <c r="W26" s="14"/>
      <c r="X26" s="15"/>
      <c r="Y26" s="15"/>
      <c r="Z26" s="14"/>
      <c r="AA26" s="15"/>
      <c r="AB26" s="15"/>
    </row>
    <row x14ac:dyDescent="0.25" r="27" customHeight="1" ht="16.5">
      <c r="A27" s="14"/>
      <c r="B27" s="259"/>
      <c r="C27" s="259"/>
      <c r="D27" s="259"/>
      <c r="E27" s="215"/>
      <c r="F27" s="13"/>
      <c r="G27" s="13"/>
      <c r="H27" s="14"/>
      <c r="I27" s="13"/>
      <c r="J27" s="13"/>
      <c r="K27" s="13"/>
      <c r="L27" s="13"/>
      <c r="M27" s="13"/>
      <c r="N27" s="13"/>
      <c r="O27" s="14"/>
      <c r="P27" s="13"/>
      <c r="Q27" s="13"/>
      <c r="R27" s="13"/>
      <c r="S27" s="13"/>
      <c r="T27" s="13"/>
      <c r="U27" s="13"/>
      <c r="V27" s="14"/>
      <c r="W27" s="14"/>
      <c r="X27" s="15"/>
      <c r="Y27" s="15"/>
      <c r="Z27" s="14"/>
      <c r="AA27" s="15"/>
      <c r="AB27" s="15"/>
    </row>
    <row x14ac:dyDescent="0.25" r="28" customHeight="1" ht="16.5">
      <c r="A28" s="14"/>
      <c r="B28" s="259"/>
      <c r="C28" s="259"/>
      <c r="D28" s="259"/>
      <c r="E28" s="215"/>
      <c r="F28" s="13"/>
      <c r="G28" s="13"/>
      <c r="H28" s="14"/>
      <c r="I28" s="13"/>
      <c r="J28" s="13"/>
      <c r="K28" s="13"/>
      <c r="L28" s="13"/>
      <c r="M28" s="13"/>
      <c r="N28" s="13"/>
      <c r="O28" s="14"/>
      <c r="P28" s="13"/>
      <c r="Q28" s="13"/>
      <c r="R28" s="13"/>
      <c r="S28" s="13"/>
      <c r="T28" s="13"/>
      <c r="U28" s="13"/>
      <c r="V28" s="14"/>
      <c r="W28" s="14"/>
      <c r="X28" s="15"/>
      <c r="Y28" s="15"/>
      <c r="Z28" s="14"/>
      <c r="AA28" s="15"/>
      <c r="AB28" s="15"/>
    </row>
    <row x14ac:dyDescent="0.25" r="29" customHeight="1" ht="16.5">
      <c r="A29" s="283"/>
      <c r="B29" s="284" t="s">
        <v>261</v>
      </c>
      <c r="C29" s="284" t="s">
        <v>261</v>
      </c>
      <c r="D29" s="284" t="s">
        <v>261</v>
      </c>
      <c r="E29" s="285"/>
      <c r="F29" s="13"/>
      <c r="G29" s="13"/>
      <c r="H29" s="14"/>
      <c r="I29" s="13"/>
      <c r="J29" s="13"/>
      <c r="K29" s="13"/>
      <c r="L29" s="13"/>
      <c r="M29" s="13"/>
      <c r="N29" s="13"/>
      <c r="O29" s="14"/>
      <c r="P29" s="13"/>
      <c r="Q29" s="13"/>
      <c r="R29" s="13"/>
      <c r="S29" s="13"/>
      <c r="T29" s="13"/>
      <c r="U29" s="13"/>
      <c r="V29" s="14"/>
      <c r="W29" s="14"/>
      <c r="X29" s="15"/>
      <c r="Y29" s="15"/>
      <c r="Z29" s="14"/>
      <c r="AA29" s="15"/>
      <c r="AB29" s="15"/>
    </row>
    <row x14ac:dyDescent="0.25" r="30" customHeight="1" ht="16.5">
      <c r="A30" s="286" t="s">
        <v>261</v>
      </c>
      <c r="B30" s="284" t="s">
        <v>261</v>
      </c>
      <c r="C30" s="284" t="s">
        <v>261</v>
      </c>
      <c r="D30" s="284" t="s">
        <v>261</v>
      </c>
      <c r="E30" s="285"/>
      <c r="F30" s="13"/>
      <c r="G30" s="13"/>
      <c r="H30" s="14"/>
      <c r="I30" s="13"/>
      <c r="J30" s="13"/>
      <c r="K30" s="13"/>
      <c r="L30" s="13"/>
      <c r="M30" s="13"/>
      <c r="N30" s="13"/>
      <c r="O30" s="14"/>
      <c r="P30" s="13"/>
      <c r="Q30" s="13"/>
      <c r="R30" s="13"/>
      <c r="S30" s="13"/>
      <c r="T30" s="13"/>
      <c r="U30" s="13"/>
      <c r="V30" s="14"/>
      <c r="W30" s="14"/>
      <c r="X30" s="15"/>
      <c r="Y30" s="15"/>
      <c r="Z30" s="14"/>
      <c r="AA30" s="15"/>
      <c r="AB30" s="15"/>
    </row>
    <row x14ac:dyDescent="0.25" r="31" customHeight="1" ht="16.5">
      <c r="A31" s="286" t="s">
        <v>261</v>
      </c>
      <c r="B31" s="284" t="s">
        <v>261</v>
      </c>
      <c r="C31" s="284" t="s">
        <v>261</v>
      </c>
      <c r="D31" s="284" t="s">
        <v>261</v>
      </c>
      <c r="E31" s="285"/>
      <c r="F31" s="13"/>
      <c r="G31" s="13"/>
      <c r="H31" s="14"/>
      <c r="I31" s="13"/>
      <c r="J31" s="13"/>
      <c r="K31" s="13"/>
      <c r="L31" s="13"/>
      <c r="M31" s="13"/>
      <c r="N31" s="13"/>
      <c r="O31" s="14"/>
      <c r="P31" s="13"/>
      <c r="Q31" s="13"/>
      <c r="R31" s="13"/>
      <c r="S31" s="13"/>
      <c r="T31" s="13"/>
      <c r="U31" s="13"/>
      <c r="V31" s="14"/>
      <c r="W31" s="14"/>
      <c r="X31" s="15"/>
      <c r="Y31" s="15"/>
      <c r="Z31" s="14"/>
      <c r="AA31" s="15"/>
      <c r="AB31" s="15"/>
    </row>
    <row x14ac:dyDescent="0.25" r="32" customHeight="1" ht="16.5">
      <c r="A32" s="286" t="s">
        <v>261</v>
      </c>
      <c r="B32" s="284" t="s">
        <v>261</v>
      </c>
      <c r="C32" s="284" t="s">
        <v>261</v>
      </c>
      <c r="D32" s="284" t="s">
        <v>261</v>
      </c>
      <c r="E32" s="285"/>
      <c r="F32" s="13"/>
      <c r="G32" s="13"/>
      <c r="H32" s="14"/>
      <c r="I32" s="13"/>
      <c r="J32" s="13"/>
      <c r="K32" s="13"/>
      <c r="L32" s="13"/>
      <c r="M32" s="13"/>
      <c r="N32" s="13"/>
      <c r="O32" s="14"/>
      <c r="P32" s="13"/>
      <c r="Q32" s="13"/>
      <c r="R32" s="13"/>
      <c r="S32" s="13"/>
      <c r="T32" s="13"/>
      <c r="U32" s="13"/>
      <c r="V32" s="14"/>
      <c r="W32" s="14"/>
      <c r="X32" s="15"/>
      <c r="Y32" s="15"/>
      <c r="Z32" s="14"/>
      <c r="AA32" s="15"/>
      <c r="AB32" s="15"/>
    </row>
    <row x14ac:dyDescent="0.25" r="33" customHeight="1" ht="16.5">
      <c r="A33" s="283"/>
      <c r="B33" s="287"/>
      <c r="C33" s="287"/>
      <c r="D33" s="287"/>
      <c r="E33" s="285"/>
      <c r="F33" s="13"/>
      <c r="G33" s="13"/>
      <c r="H33" s="14"/>
      <c r="I33" s="13"/>
      <c r="J33" s="13"/>
      <c r="K33" s="13"/>
      <c r="L33" s="13"/>
      <c r="M33" s="13"/>
      <c r="N33" s="13"/>
      <c r="O33" s="14"/>
      <c r="P33" s="13"/>
      <c r="Q33" s="13"/>
      <c r="R33" s="13"/>
      <c r="S33" s="13"/>
      <c r="T33" s="13"/>
      <c r="U33" s="13"/>
      <c r="V33" s="14"/>
      <c r="W33" s="14"/>
      <c r="X33" s="15"/>
      <c r="Y33" s="15"/>
      <c r="Z33" s="14"/>
      <c r="AA33" s="15"/>
      <c r="AB33" s="15"/>
    </row>
    <row x14ac:dyDescent="0.25" r="34" customHeight="1" ht="16.5">
      <c r="A34" s="283"/>
      <c r="B34" s="287"/>
      <c r="C34" s="287"/>
      <c r="D34" s="287"/>
      <c r="E34" s="285"/>
      <c r="F34" s="13"/>
      <c r="G34" s="13"/>
      <c r="H34" s="14"/>
      <c r="I34" s="13"/>
      <c r="J34" s="13"/>
      <c r="K34" s="13"/>
      <c r="L34" s="13"/>
      <c r="M34" s="13"/>
      <c r="N34" s="13"/>
      <c r="O34" s="14"/>
      <c r="P34" s="13"/>
      <c r="Q34" s="13"/>
      <c r="R34" s="13"/>
      <c r="S34" s="13"/>
      <c r="T34" s="13"/>
      <c r="U34" s="13"/>
      <c r="V34" s="14"/>
      <c r="W34" s="14"/>
      <c r="X34" s="15"/>
      <c r="Y34" s="15"/>
      <c r="Z34" s="14"/>
      <c r="AA34" s="15"/>
      <c r="AB34" s="15"/>
    </row>
    <row x14ac:dyDescent="0.25" r="35" customHeight="1" ht="16.5">
      <c r="A35" s="288"/>
      <c r="B35" s="289"/>
      <c r="C35" s="289"/>
      <c r="D35" s="289"/>
      <c r="E35" s="285"/>
      <c r="F35" s="13"/>
      <c r="G35" s="13"/>
      <c r="H35" s="14"/>
      <c r="I35" s="13"/>
      <c r="J35" s="13"/>
      <c r="K35" s="13"/>
      <c r="L35" s="13"/>
      <c r="M35" s="13"/>
      <c r="N35" s="13"/>
      <c r="O35" s="14"/>
      <c r="P35" s="13"/>
      <c r="Q35" s="13"/>
      <c r="R35" s="13"/>
      <c r="S35" s="13"/>
      <c r="T35" s="13"/>
      <c r="U35" s="13"/>
      <c r="V35" s="14"/>
      <c r="W35" s="14"/>
      <c r="X35" s="15"/>
      <c r="Y35" s="15"/>
      <c r="Z35" s="14"/>
      <c r="AA35" s="15"/>
      <c r="AB35" s="15"/>
    </row>
  </sheetData>
  <mergeCells count="3">
    <mergeCell ref="B2:H2"/>
    <mergeCell ref="I2:O2"/>
    <mergeCell ref="P2:V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AL15"/>
  <sheetViews>
    <sheetView workbookViewId="0"/>
  </sheetViews>
  <sheetFormatPr defaultRowHeight="15" x14ac:dyDescent="0.25"/>
  <cols>
    <col min="1" max="1" style="189" width="26.862142857142857" customWidth="1" bestFit="1"/>
    <col min="2" max="2" style="256" width="9.862142857142858" customWidth="1" bestFit="1"/>
    <col min="3" max="3" style="256" width="9.862142857142858" customWidth="1" bestFit="1"/>
    <col min="4" max="4" style="256" width="10.290714285714287" customWidth="1" bestFit="1"/>
    <col min="5" max="5" style="256" width="10.719285714285713" customWidth="1" bestFit="1"/>
    <col min="6" max="6" style="256" width="10.290714285714287" customWidth="1" bestFit="1"/>
    <col min="7" max="7" style="256" width="10.290714285714287" customWidth="1" bestFit="1"/>
    <col min="8" max="8" style="256" width="11.290714285714287" customWidth="1" bestFit="1"/>
    <col min="9" max="9" style="256" width="11.290714285714287" customWidth="1" bestFit="1"/>
    <col min="10" max="10" style="189" width="48.005" customWidth="1" bestFit="1"/>
    <col min="11" max="11" style="256" width="11.862142857142858" customWidth="1" bestFit="1"/>
    <col min="12" max="12" style="256" width="11.862142857142858" customWidth="1" bestFit="1"/>
    <col min="13" max="13" style="256" width="11.862142857142858" customWidth="1" bestFit="1"/>
    <col min="14" max="14" style="256" width="11.862142857142858" customWidth="1" bestFit="1"/>
    <col min="15" max="15" style="256" width="11.862142857142858" customWidth="1" bestFit="1"/>
    <col min="16" max="16" style="256" width="11.862142857142858" customWidth="1" bestFit="1"/>
    <col min="17" max="17" style="256" width="11.862142857142858" customWidth="1" bestFit="1"/>
    <col min="18" max="18" style="256" width="11.862142857142858" customWidth="1" bestFit="1"/>
    <col min="19" max="19" style="189" width="48.29071428571429" customWidth="1" bestFit="1"/>
    <col min="20" max="20" style="256" width="11.862142857142858" customWidth="1" bestFit="1"/>
    <col min="21" max="21" style="256" width="11.862142857142858" customWidth="1" bestFit="1"/>
    <col min="22" max="22" style="256" width="11.862142857142858" customWidth="1" bestFit="1"/>
    <col min="23" max="23" style="256" width="11.862142857142858" customWidth="1" bestFit="1"/>
    <col min="24" max="24" style="256" width="11.862142857142858" customWidth="1" bestFit="1"/>
    <col min="25" max="25" style="256" width="11.862142857142858" customWidth="1" bestFit="1"/>
    <col min="26" max="26" style="256" width="11.862142857142858" customWidth="1" bestFit="1"/>
    <col min="27" max="27" style="256" width="11.862142857142858" customWidth="1" bestFit="1"/>
    <col min="28" max="28" style="189" width="43.86214285714286" customWidth="1" bestFit="1"/>
    <col min="29" max="29" style="189" width="11.862142857142858" customWidth="1" bestFit="1"/>
    <col min="30" max="30" style="257" width="18.576428571428572" customWidth="1" bestFit="1"/>
    <col min="31" max="31" style="257" width="24.14785714285714" customWidth="1" bestFit="1"/>
    <col min="32" max="32" style="257" width="18.290714285714284" customWidth="1" bestFit="1"/>
    <col min="33" max="33" style="257" width="17.719285714285714" customWidth="1" bestFit="1"/>
    <col min="34" max="34" style="258" width="11.862142857142858" customWidth="1" bestFit="1"/>
    <col min="35" max="35" style="257" width="18.576428571428572" customWidth="1" bestFit="1"/>
    <col min="36" max="36" style="257" width="20.005" customWidth="1" bestFit="1"/>
    <col min="37" max="37" style="257" width="18.719285714285714" customWidth="1" bestFit="1"/>
    <col min="38" max="38" style="257" width="25.719285714285714" customWidth="1" bestFit="1"/>
  </cols>
  <sheetData>
    <row x14ac:dyDescent="0.25" r="1" customHeight="1" ht="16.5">
      <c r="A1" s="14"/>
      <c r="B1" s="215"/>
      <c r="C1" s="215"/>
      <c r="D1" s="215"/>
      <c r="E1" s="215"/>
      <c r="F1" s="215"/>
      <c r="G1" s="215"/>
      <c r="H1" s="215"/>
      <c r="I1" s="215"/>
      <c r="J1" s="14"/>
      <c r="K1" s="215"/>
      <c r="L1" s="215"/>
      <c r="M1" s="215"/>
      <c r="N1" s="215"/>
      <c r="O1" s="215"/>
      <c r="P1" s="215"/>
      <c r="Q1" s="215"/>
      <c r="R1" s="215"/>
      <c r="S1" s="14"/>
      <c r="T1" s="215"/>
      <c r="U1" s="215"/>
      <c r="V1" s="215"/>
      <c r="W1" s="215"/>
      <c r="X1" s="215"/>
      <c r="Y1" s="215"/>
      <c r="Z1" s="215"/>
      <c r="AA1" s="215"/>
      <c r="AB1" s="14"/>
      <c r="AC1" s="14"/>
      <c r="AD1" s="216"/>
      <c r="AE1" s="216"/>
      <c r="AF1" s="216"/>
      <c r="AG1" s="216"/>
      <c r="AH1" s="217"/>
      <c r="AI1" s="216"/>
      <c r="AJ1" s="216"/>
      <c r="AK1" s="216"/>
      <c r="AL1" s="216"/>
    </row>
    <row x14ac:dyDescent="0.25" r="2" customHeight="1" ht="16.5">
      <c r="A2" s="14"/>
      <c r="B2" s="84" t="s">
        <v>15</v>
      </c>
      <c r="C2" s="85"/>
      <c r="D2" s="85"/>
      <c r="E2" s="85"/>
      <c r="F2" s="85"/>
      <c r="G2" s="85"/>
      <c r="H2" s="85"/>
      <c r="I2" s="85"/>
      <c r="J2" s="21"/>
      <c r="K2" s="84" t="s">
        <v>16</v>
      </c>
      <c r="L2" s="85"/>
      <c r="M2" s="85"/>
      <c r="N2" s="85"/>
      <c r="O2" s="85"/>
      <c r="P2" s="85"/>
      <c r="Q2" s="85"/>
      <c r="R2" s="85"/>
      <c r="S2" s="21"/>
      <c r="T2" s="84" t="s">
        <v>17</v>
      </c>
      <c r="U2" s="85"/>
      <c r="V2" s="85"/>
      <c r="W2" s="85"/>
      <c r="X2" s="85"/>
      <c r="Y2" s="85"/>
      <c r="Z2" s="85"/>
      <c r="AA2" s="85"/>
      <c r="AB2" s="21"/>
      <c r="AC2" s="14"/>
      <c r="AD2" s="216"/>
      <c r="AE2" s="216"/>
      <c r="AF2" s="216"/>
      <c r="AG2" s="216"/>
      <c r="AH2" s="217"/>
      <c r="AI2" s="216"/>
      <c r="AJ2" s="216"/>
      <c r="AK2" s="216"/>
      <c r="AL2" s="216"/>
    </row>
    <row x14ac:dyDescent="0.25" r="3" customHeight="1" ht="16.5">
      <c r="A3" s="218" t="s">
        <v>20</v>
      </c>
      <c r="B3" s="113" t="s">
        <v>198</v>
      </c>
      <c r="C3" s="114" t="s">
        <v>199</v>
      </c>
      <c r="D3" s="114" t="s">
        <v>22</v>
      </c>
      <c r="E3" s="114" t="s">
        <v>200</v>
      </c>
      <c r="F3" s="114" t="s">
        <v>24</v>
      </c>
      <c r="G3" s="114" t="s">
        <v>25</v>
      </c>
      <c r="H3" s="114" t="s">
        <v>201</v>
      </c>
      <c r="I3" s="116" t="s">
        <v>202</v>
      </c>
      <c r="J3" s="117" t="s">
        <v>203</v>
      </c>
      <c r="K3" s="113" t="s">
        <v>198</v>
      </c>
      <c r="L3" s="114" t="s">
        <v>204</v>
      </c>
      <c r="M3" s="114" t="s">
        <v>22</v>
      </c>
      <c r="N3" s="114" t="s">
        <v>200</v>
      </c>
      <c r="O3" s="114" t="s">
        <v>24</v>
      </c>
      <c r="P3" s="114" t="s">
        <v>25</v>
      </c>
      <c r="Q3" s="114" t="s">
        <v>201</v>
      </c>
      <c r="R3" s="116" t="s">
        <v>205</v>
      </c>
      <c r="S3" s="219" t="s">
        <v>203</v>
      </c>
      <c r="T3" s="113" t="s">
        <v>198</v>
      </c>
      <c r="U3" s="114" t="s">
        <v>204</v>
      </c>
      <c r="V3" s="114" t="s">
        <v>22</v>
      </c>
      <c r="W3" s="114" t="s">
        <v>200</v>
      </c>
      <c r="X3" s="114" t="s">
        <v>24</v>
      </c>
      <c r="Y3" s="114" t="s">
        <v>25</v>
      </c>
      <c r="Z3" s="114" t="s">
        <v>201</v>
      </c>
      <c r="AA3" s="116" t="s">
        <v>205</v>
      </c>
      <c r="AB3" s="220" t="s">
        <v>203</v>
      </c>
      <c r="AC3" s="14"/>
      <c r="AD3" s="221" t="s">
        <v>206</v>
      </c>
      <c r="AE3" s="222" t="s">
        <v>207</v>
      </c>
      <c r="AF3" s="222" t="s">
        <v>208</v>
      </c>
      <c r="AG3" s="223" t="s">
        <v>209</v>
      </c>
      <c r="AH3" s="217"/>
      <c r="AI3" s="221" t="s">
        <v>210</v>
      </c>
      <c r="AJ3" s="222" t="s">
        <v>211</v>
      </c>
      <c r="AK3" s="222" t="s">
        <v>212</v>
      </c>
      <c r="AL3" s="223" t="s">
        <v>213</v>
      </c>
    </row>
    <row x14ac:dyDescent="0.25" r="4" customHeight="1" ht="114">
      <c r="A4" s="224" t="s">
        <v>67</v>
      </c>
      <c r="B4" s="103">
        <v>0</v>
      </c>
      <c r="C4" s="46">
        <v>0</v>
      </c>
      <c r="D4" s="46">
        <v>5</v>
      </c>
      <c r="E4" s="46">
        <v>0</v>
      </c>
      <c r="F4" s="46">
        <v>1</v>
      </c>
      <c r="G4" s="46">
        <v>0</v>
      </c>
      <c r="H4" s="46">
        <v>1</v>
      </c>
      <c r="I4" s="48">
        <v>0</v>
      </c>
      <c r="J4" s="104" t="s">
        <v>214</v>
      </c>
      <c r="K4" s="125">
        <v>0</v>
      </c>
      <c r="L4" s="92">
        <v>0</v>
      </c>
      <c r="M4" s="92">
        <v>4</v>
      </c>
      <c r="N4" s="92">
        <v>0</v>
      </c>
      <c r="O4" s="92">
        <v>1</v>
      </c>
      <c r="P4" s="92">
        <v>1</v>
      </c>
      <c r="Q4" s="92">
        <v>1</v>
      </c>
      <c r="R4" s="126">
        <v>0</v>
      </c>
      <c r="S4" s="225" t="s">
        <v>215</v>
      </c>
      <c r="T4" s="125">
        <v>0</v>
      </c>
      <c r="U4" s="92">
        <v>0</v>
      </c>
      <c r="V4" s="92">
        <v>5</v>
      </c>
      <c r="W4" s="92">
        <v>1</v>
      </c>
      <c r="X4" s="92">
        <v>1</v>
      </c>
      <c r="Y4" s="92">
        <v>1</v>
      </c>
      <c r="Z4" s="92">
        <v>1</v>
      </c>
      <c r="AA4" s="126">
        <v>0</v>
      </c>
      <c r="AB4" s="144" t="s">
        <v>216</v>
      </c>
      <c r="AC4" s="14"/>
      <c r="AD4" s="226">
        <f>AVERAGE(T4,K4,B4)</f>
      </c>
      <c r="AE4" s="227">
        <f>AVERAGE(T4-U4,K4-L4,B4-C4)</f>
      </c>
      <c r="AF4" s="228"/>
      <c r="AG4" s="229"/>
      <c r="AH4" s="230"/>
      <c r="AI4" s="226">
        <f>AVERAGE(Z4,Q4,H4)</f>
      </c>
      <c r="AJ4" s="227">
        <f>AVERAGE(Z4-AA4,Q4-R4,H4-I4)</f>
      </c>
      <c r="AK4" s="228"/>
      <c r="AL4" s="229"/>
    </row>
    <row x14ac:dyDescent="0.25" r="5" customHeight="1" ht="134">
      <c r="A5" s="231" t="s">
        <v>71</v>
      </c>
      <c r="B5" s="39">
        <v>0</v>
      </c>
      <c r="C5" s="40">
        <v>0</v>
      </c>
      <c r="D5" s="40">
        <v>5</v>
      </c>
      <c r="E5" s="40">
        <v>0</v>
      </c>
      <c r="F5" s="40">
        <v>1</v>
      </c>
      <c r="G5" s="40">
        <v>0</v>
      </c>
      <c r="H5" s="40">
        <v>0</v>
      </c>
      <c r="I5" s="55">
        <v>0</v>
      </c>
      <c r="J5" s="102"/>
      <c r="K5" s="39">
        <v>2</v>
      </c>
      <c r="L5" s="40">
        <v>2</v>
      </c>
      <c r="M5" s="40">
        <v>6</v>
      </c>
      <c r="N5" s="40">
        <v>0</v>
      </c>
      <c r="O5" s="40">
        <v>1</v>
      </c>
      <c r="P5" s="40">
        <v>0</v>
      </c>
      <c r="Q5" s="40">
        <v>0</v>
      </c>
      <c r="R5" s="55">
        <v>0</v>
      </c>
      <c r="S5" s="102" t="s">
        <v>217</v>
      </c>
      <c r="T5" s="39">
        <v>1</v>
      </c>
      <c r="U5" s="40">
        <v>0</v>
      </c>
      <c r="V5" s="40">
        <v>7</v>
      </c>
      <c r="W5" s="40">
        <v>0</v>
      </c>
      <c r="X5" s="40">
        <v>1</v>
      </c>
      <c r="Y5" s="40">
        <v>0</v>
      </c>
      <c r="Z5" s="40">
        <v>0</v>
      </c>
      <c r="AA5" s="55">
        <v>0</v>
      </c>
      <c r="AB5" s="133" t="s">
        <v>218</v>
      </c>
      <c r="AC5" s="14"/>
      <c r="AD5" s="51">
        <f>AVERAGE(T5,K5,B5)</f>
      </c>
      <c r="AE5" s="232">
        <f>AVERAGE(T5-U5,K5-L5,B5-C5)</f>
      </c>
      <c r="AF5" s="230"/>
      <c r="AG5" s="233"/>
      <c r="AH5" s="230"/>
      <c r="AI5" s="51">
        <f>AVERAGE(Z5,Q5,H5)</f>
      </c>
      <c r="AJ5" s="232">
        <f>AVERAGE(Z5-AA5,Q5-R5,H5-I5)</f>
      </c>
      <c r="AK5" s="230"/>
      <c r="AL5" s="233"/>
    </row>
    <row x14ac:dyDescent="0.25" r="6" customHeight="1" ht="195">
      <c r="A6" s="135" t="s">
        <v>74</v>
      </c>
      <c r="B6" s="234">
        <v>1</v>
      </c>
      <c r="C6" s="235">
        <v>1</v>
      </c>
      <c r="D6" s="40">
        <v>5</v>
      </c>
      <c r="E6" s="40">
        <v>0</v>
      </c>
      <c r="F6" s="40">
        <v>1</v>
      </c>
      <c r="G6" s="40">
        <v>0</v>
      </c>
      <c r="H6" s="40">
        <v>0</v>
      </c>
      <c r="I6" s="55">
        <v>0</v>
      </c>
      <c r="J6" s="102" t="s">
        <v>219</v>
      </c>
      <c r="K6" s="234">
        <v>0</v>
      </c>
      <c r="L6" s="235">
        <v>0</v>
      </c>
      <c r="M6" s="40">
        <v>5</v>
      </c>
      <c r="N6" s="40">
        <v>0</v>
      </c>
      <c r="O6" s="40">
        <v>1</v>
      </c>
      <c r="P6" s="40">
        <v>0</v>
      </c>
      <c r="Q6" s="40">
        <v>0</v>
      </c>
      <c r="R6" s="55">
        <v>0</v>
      </c>
      <c r="S6" s="102"/>
      <c r="T6" s="136">
        <v>0</v>
      </c>
      <c r="U6" s="138">
        <v>0</v>
      </c>
      <c r="V6" s="138">
        <v>5</v>
      </c>
      <c r="W6" s="138">
        <v>1</v>
      </c>
      <c r="X6" s="138">
        <v>1</v>
      </c>
      <c r="Y6" s="138">
        <v>0</v>
      </c>
      <c r="Z6" s="138">
        <v>0</v>
      </c>
      <c r="AA6" s="236">
        <v>0</v>
      </c>
      <c r="AB6" s="133" t="s">
        <v>220</v>
      </c>
      <c r="AC6" s="14"/>
      <c r="AD6" s="51">
        <f>AVERAGE(T6,K6,B6)</f>
      </c>
      <c r="AE6" s="232">
        <f>AVERAGE(T6-U6,K6-L6,B6-C6)</f>
      </c>
      <c r="AF6" s="232">
        <f>AVERAGE(AD4:AD7)</f>
      </c>
      <c r="AG6" s="237">
        <f>AVERAGE(AE4:AE7)</f>
      </c>
      <c r="AH6" s="230"/>
      <c r="AI6" s="51">
        <f>AVERAGE(Z6,Q6,H6)</f>
      </c>
      <c r="AJ6" s="232">
        <f>AVERAGE(Z6-AA6,Q6-R6,H6-I6)</f>
      </c>
      <c r="AK6" s="232">
        <f>AVERAGE(AI4:AI7)</f>
      </c>
      <c r="AL6" s="237">
        <f>AVERAGE(AJ4:AJ7)</f>
      </c>
    </row>
    <row x14ac:dyDescent="0.25" r="7" customHeight="1" ht="202">
      <c r="A7" s="238" t="s">
        <v>78</v>
      </c>
      <c r="B7" s="65">
        <v>1</v>
      </c>
      <c r="C7" s="66">
        <v>0</v>
      </c>
      <c r="D7" s="66">
        <v>4</v>
      </c>
      <c r="E7" s="66">
        <v>0</v>
      </c>
      <c r="F7" s="66">
        <v>0</v>
      </c>
      <c r="G7" s="66">
        <v>0</v>
      </c>
      <c r="H7" s="66">
        <v>2</v>
      </c>
      <c r="I7" s="68">
        <v>1</v>
      </c>
      <c r="J7" s="111" t="s">
        <v>221</v>
      </c>
      <c r="K7" s="65">
        <v>0</v>
      </c>
      <c r="L7" s="66">
        <v>0</v>
      </c>
      <c r="M7" s="66">
        <v>5</v>
      </c>
      <c r="N7" s="66">
        <v>1</v>
      </c>
      <c r="O7" s="66">
        <v>0</v>
      </c>
      <c r="P7" s="66">
        <v>0</v>
      </c>
      <c r="Q7" s="66">
        <v>1</v>
      </c>
      <c r="R7" s="68">
        <v>1</v>
      </c>
      <c r="S7" s="111" t="s">
        <v>222</v>
      </c>
      <c r="T7" s="65">
        <v>0</v>
      </c>
      <c r="U7" s="66">
        <v>0</v>
      </c>
      <c r="V7" s="66">
        <v>6</v>
      </c>
      <c r="W7" s="66">
        <v>0</v>
      </c>
      <c r="X7" s="66">
        <v>0</v>
      </c>
      <c r="Y7" s="66">
        <v>0</v>
      </c>
      <c r="Z7" s="66">
        <v>2</v>
      </c>
      <c r="AA7" s="68">
        <v>2</v>
      </c>
      <c r="AB7" s="141" t="s">
        <v>55</v>
      </c>
      <c r="AC7" s="14"/>
      <c r="AD7" s="239">
        <f>AVERAGE(T7,K7,B7)</f>
      </c>
      <c r="AE7" s="240">
        <f>AVERAGE(T7-U7,K7-L7,B7-C7)</f>
      </c>
      <c r="AF7" s="230"/>
      <c r="AG7" s="233"/>
      <c r="AH7" s="230"/>
      <c r="AI7" s="239">
        <f>AVERAGE(Z7,Q7,H7)</f>
      </c>
      <c r="AJ7" s="240">
        <f>AVERAGE(Z7-AA7,Q7-R7,H7-I7)</f>
      </c>
      <c r="AK7" s="230"/>
      <c r="AL7" s="233"/>
    </row>
    <row x14ac:dyDescent="0.25" r="8" customHeight="1" ht="182">
      <c r="A8" s="241" t="s">
        <v>82</v>
      </c>
      <c r="B8" s="242">
        <v>1</v>
      </c>
      <c r="C8" s="243">
        <v>1</v>
      </c>
      <c r="D8" s="92">
        <v>11</v>
      </c>
      <c r="E8" s="92">
        <v>2</v>
      </c>
      <c r="F8" s="92">
        <v>1</v>
      </c>
      <c r="G8" s="92">
        <v>2</v>
      </c>
      <c r="H8" s="92">
        <v>2</v>
      </c>
      <c r="I8" s="126">
        <v>0</v>
      </c>
      <c r="J8" s="104" t="s">
        <v>223</v>
      </c>
      <c r="K8" s="125">
        <v>1</v>
      </c>
      <c r="L8" s="92">
        <v>1</v>
      </c>
      <c r="M8" s="92">
        <v>7</v>
      </c>
      <c r="N8" s="92">
        <v>0</v>
      </c>
      <c r="O8" s="92">
        <v>1</v>
      </c>
      <c r="P8" s="92">
        <v>0</v>
      </c>
      <c r="Q8" s="92">
        <v>0</v>
      </c>
      <c r="R8" s="126">
        <v>0</v>
      </c>
      <c r="S8" s="104" t="s">
        <v>224</v>
      </c>
      <c r="T8" s="125">
        <v>0</v>
      </c>
      <c r="U8" s="92">
        <v>0</v>
      </c>
      <c r="V8" s="92">
        <v>7</v>
      </c>
      <c r="W8" s="92">
        <v>1</v>
      </c>
      <c r="X8" s="92">
        <v>1</v>
      </c>
      <c r="Y8" s="92">
        <v>0</v>
      </c>
      <c r="Z8" s="92">
        <v>1</v>
      </c>
      <c r="AA8" s="126">
        <v>1</v>
      </c>
      <c r="AB8" s="244" t="s">
        <v>222</v>
      </c>
      <c r="AC8" s="14"/>
      <c r="AD8" s="226">
        <f>AVERAGE(T8,K8,B8)</f>
      </c>
      <c r="AE8" s="227">
        <f>AVERAGE(T8-U8,K8-L8,B8-C8)</f>
      </c>
      <c r="AF8" s="228"/>
      <c r="AG8" s="229"/>
      <c r="AH8" s="230"/>
      <c r="AI8" s="226">
        <f>AVERAGE(Z8,Q8,H8)</f>
      </c>
      <c r="AJ8" s="227">
        <f>AVERAGE(Z8-AA8,Q8-R8,H8-I8)</f>
      </c>
      <c r="AK8" s="228"/>
      <c r="AL8" s="229"/>
    </row>
    <row x14ac:dyDescent="0.25" r="9" customHeight="1" ht="16.5">
      <c r="A9" s="245" t="s">
        <v>84</v>
      </c>
      <c r="B9" s="100">
        <v>1</v>
      </c>
      <c r="C9" s="41">
        <v>1</v>
      </c>
      <c r="D9" s="40">
        <v>7</v>
      </c>
      <c r="E9" s="40">
        <v>0</v>
      </c>
      <c r="F9" s="40">
        <v>1</v>
      </c>
      <c r="G9" s="40">
        <v>0</v>
      </c>
      <c r="H9" s="40">
        <v>0</v>
      </c>
      <c r="I9" s="55">
        <v>0</v>
      </c>
      <c r="J9" s="102" t="s">
        <v>225</v>
      </c>
      <c r="K9" s="39">
        <v>1</v>
      </c>
      <c r="L9" s="40">
        <v>1</v>
      </c>
      <c r="M9" s="40">
        <v>7</v>
      </c>
      <c r="N9" s="40">
        <v>0</v>
      </c>
      <c r="O9" s="40">
        <v>1</v>
      </c>
      <c r="P9" s="40">
        <v>0</v>
      </c>
      <c r="Q9" s="40">
        <v>0</v>
      </c>
      <c r="R9" s="55">
        <v>0</v>
      </c>
      <c r="S9" s="102" t="s">
        <v>226</v>
      </c>
      <c r="T9" s="39">
        <v>1</v>
      </c>
      <c r="U9" s="40">
        <v>0</v>
      </c>
      <c r="V9" s="40">
        <v>10</v>
      </c>
      <c r="W9" s="40">
        <v>0</v>
      </c>
      <c r="X9" s="40">
        <v>1</v>
      </c>
      <c r="Y9" s="40">
        <v>2</v>
      </c>
      <c r="Z9" s="40">
        <v>2</v>
      </c>
      <c r="AA9" s="55">
        <v>0</v>
      </c>
      <c r="AB9" s="133" t="s">
        <v>227</v>
      </c>
      <c r="AC9" s="14"/>
      <c r="AD9" s="51">
        <f>AVERAGE(T9,K9,B9)</f>
      </c>
      <c r="AE9" s="232">
        <f>AVERAGE(T9-U9,K9-L9,B9-C9)</f>
      </c>
      <c r="AF9" s="230"/>
      <c r="AG9" s="233"/>
      <c r="AH9" s="230"/>
      <c r="AI9" s="51">
        <f>AVERAGE(Z9,Q9,H9)</f>
      </c>
      <c r="AJ9" s="232">
        <f>AVERAGE(Z9-AA9,Q9-R9,H9-I9)</f>
      </c>
      <c r="AK9" s="230"/>
      <c r="AL9" s="233"/>
    </row>
    <row x14ac:dyDescent="0.25" r="10" customHeight="1" ht="178">
      <c r="A10" s="245" t="s">
        <v>88</v>
      </c>
      <c r="B10" s="100">
        <v>0</v>
      </c>
      <c r="C10" s="41">
        <v>0</v>
      </c>
      <c r="D10" s="40">
        <v>7</v>
      </c>
      <c r="E10" s="40">
        <v>0</v>
      </c>
      <c r="F10" s="40">
        <v>1</v>
      </c>
      <c r="G10" s="40">
        <v>0</v>
      </c>
      <c r="H10" s="40">
        <v>0</v>
      </c>
      <c r="I10" s="55">
        <v>0</v>
      </c>
      <c r="J10" s="102"/>
      <c r="K10" s="39">
        <v>1</v>
      </c>
      <c r="L10" s="40">
        <v>1</v>
      </c>
      <c r="M10" s="40">
        <v>5</v>
      </c>
      <c r="N10" s="40">
        <v>0</v>
      </c>
      <c r="O10" s="40">
        <v>1</v>
      </c>
      <c r="P10" s="40">
        <v>0</v>
      </c>
      <c r="Q10" s="40">
        <v>1</v>
      </c>
      <c r="R10" s="55">
        <v>1</v>
      </c>
      <c r="S10" s="102" t="s">
        <v>228</v>
      </c>
      <c r="T10" s="39">
        <v>1</v>
      </c>
      <c r="U10" s="40">
        <v>1</v>
      </c>
      <c r="V10" s="40">
        <v>5</v>
      </c>
      <c r="W10" s="40">
        <v>0</v>
      </c>
      <c r="X10" s="40">
        <v>1</v>
      </c>
      <c r="Y10" s="40">
        <v>0</v>
      </c>
      <c r="Z10" s="40">
        <v>1</v>
      </c>
      <c r="AA10" s="55">
        <v>1</v>
      </c>
      <c r="AB10" s="133" t="s">
        <v>229</v>
      </c>
      <c r="AC10" s="14"/>
      <c r="AD10" s="51">
        <f>AVERAGE(T10,K10,B10)</f>
      </c>
      <c r="AE10" s="232">
        <f>AVERAGE(T10-U10,K10-L10,B10-C10)</f>
      </c>
      <c r="AF10" s="232">
        <f>AVERAGE(AD8:AD11)</f>
      </c>
      <c r="AG10" s="237">
        <f>AVERAGE(AE8:AE11)</f>
      </c>
      <c r="AH10" s="230"/>
      <c r="AI10" s="51">
        <f>AVERAGE(Z10,Q10,H10)</f>
      </c>
      <c r="AJ10" s="232">
        <f>AVERAGE(Z10-AA10,Q10-R10,H10-I10)</f>
      </c>
      <c r="AK10" s="232">
        <f>AVERAGE(AI8:AI11)</f>
      </c>
      <c r="AL10" s="237">
        <f>AVERAGE(AJ8:AJ11)</f>
      </c>
    </row>
    <row x14ac:dyDescent="0.25" r="11" customHeight="1" ht="16.5">
      <c r="A11" s="246" t="s">
        <v>92</v>
      </c>
      <c r="B11" s="65">
        <v>2</v>
      </c>
      <c r="C11" s="66">
        <v>2</v>
      </c>
      <c r="D11" s="66">
        <v>7</v>
      </c>
      <c r="E11" s="66">
        <v>0</v>
      </c>
      <c r="F11" s="66">
        <v>1</v>
      </c>
      <c r="G11" s="66">
        <v>2</v>
      </c>
      <c r="H11" s="66">
        <v>4</v>
      </c>
      <c r="I11" s="68">
        <v>2</v>
      </c>
      <c r="J11" s="111" t="s">
        <v>230</v>
      </c>
      <c r="K11" s="65">
        <v>0</v>
      </c>
      <c r="L11" s="66">
        <v>0</v>
      </c>
      <c r="M11" s="66">
        <v>5</v>
      </c>
      <c r="N11" s="66">
        <v>0</v>
      </c>
      <c r="O11" s="66">
        <v>1</v>
      </c>
      <c r="P11" s="66">
        <v>2</v>
      </c>
      <c r="Q11" s="66">
        <v>2</v>
      </c>
      <c r="R11" s="68">
        <v>0</v>
      </c>
      <c r="S11" s="111" t="s">
        <v>231</v>
      </c>
      <c r="T11" s="65">
        <v>1</v>
      </c>
      <c r="U11" s="66">
        <v>1</v>
      </c>
      <c r="V11" s="66">
        <v>5</v>
      </c>
      <c r="W11" s="66">
        <v>0</v>
      </c>
      <c r="X11" s="66">
        <v>1</v>
      </c>
      <c r="Y11" s="66">
        <v>0</v>
      </c>
      <c r="Z11" s="66">
        <v>0</v>
      </c>
      <c r="AA11" s="68">
        <v>0</v>
      </c>
      <c r="AB11" s="141" t="s">
        <v>219</v>
      </c>
      <c r="AC11" s="14"/>
      <c r="AD11" s="78">
        <f>AVERAGE(T11,K11,B11)</f>
      </c>
      <c r="AE11" s="247">
        <f>AVERAGE(T11-U11,K11-L11,B11-C11)</f>
      </c>
      <c r="AF11" s="248"/>
      <c r="AG11" s="249"/>
      <c r="AH11" s="230"/>
      <c r="AI11" s="78">
        <f>AVERAGE(Z11,Q11,H11)</f>
      </c>
      <c r="AJ11" s="247">
        <f>AVERAGE(Z11-AA11,Q11-R11,H11-I11)</f>
      </c>
      <c r="AK11" s="248"/>
      <c r="AL11" s="249"/>
    </row>
    <row x14ac:dyDescent="0.25" r="12" customHeight="1" ht="131">
      <c r="A12" s="250" t="s">
        <v>96</v>
      </c>
      <c r="B12" s="242">
        <v>0</v>
      </c>
      <c r="C12" s="243">
        <v>0</v>
      </c>
      <c r="D12" s="243">
        <v>5</v>
      </c>
      <c r="E12" s="243">
        <v>0</v>
      </c>
      <c r="F12" s="243">
        <v>1</v>
      </c>
      <c r="G12" s="243">
        <v>0</v>
      </c>
      <c r="H12" s="243">
        <v>1</v>
      </c>
      <c r="I12" s="251">
        <v>1</v>
      </c>
      <c r="J12" s="252" t="s">
        <v>232</v>
      </c>
      <c r="K12" s="143">
        <v>0</v>
      </c>
      <c r="L12" s="148">
        <v>0</v>
      </c>
      <c r="M12" s="148">
        <v>5</v>
      </c>
      <c r="N12" s="148">
        <v>0</v>
      </c>
      <c r="O12" s="148">
        <v>1</v>
      </c>
      <c r="P12" s="148">
        <v>0</v>
      </c>
      <c r="Q12" s="148">
        <v>1</v>
      </c>
      <c r="R12" s="150">
        <v>1</v>
      </c>
      <c r="S12" s="252" t="s">
        <v>232</v>
      </c>
      <c r="T12" s="125">
        <v>0</v>
      </c>
      <c r="U12" s="92">
        <v>0</v>
      </c>
      <c r="V12" s="92">
        <v>6</v>
      </c>
      <c r="W12" s="92">
        <v>0</v>
      </c>
      <c r="X12" s="92">
        <v>1</v>
      </c>
      <c r="Y12" s="92">
        <v>0</v>
      </c>
      <c r="Z12" s="92">
        <v>1</v>
      </c>
      <c r="AA12" s="126">
        <v>1</v>
      </c>
      <c r="AB12" s="244" t="s">
        <v>232</v>
      </c>
      <c r="AC12" s="14"/>
      <c r="AD12" s="226">
        <f>AVERAGE(T12,K12,B12)</f>
      </c>
      <c r="AE12" s="227">
        <f>AVERAGE(T12-U12,K12-L12,B12-C12)</f>
      </c>
      <c r="AF12" s="228"/>
      <c r="AG12" s="229"/>
      <c r="AH12" s="230"/>
      <c r="AI12" s="226">
        <f>AVERAGE(Z12,Q12,H12)</f>
      </c>
      <c r="AJ12" s="227">
        <f>AVERAGE(Z12-AA12,Q12-R12,H12-I12)</f>
      </c>
      <c r="AK12" s="228"/>
      <c r="AL12" s="229"/>
    </row>
    <row x14ac:dyDescent="0.25" r="13" customHeight="1" ht="229">
      <c r="A13" s="245" t="s">
        <v>233</v>
      </c>
      <c r="B13" s="100">
        <v>1</v>
      </c>
      <c r="C13" s="41">
        <v>1</v>
      </c>
      <c r="D13" s="41">
        <v>5</v>
      </c>
      <c r="E13" s="41">
        <v>0</v>
      </c>
      <c r="F13" s="41">
        <v>1</v>
      </c>
      <c r="G13" s="41">
        <v>0</v>
      </c>
      <c r="H13" s="41">
        <v>1</v>
      </c>
      <c r="I13" s="43">
        <v>1</v>
      </c>
      <c r="J13" s="198" t="s">
        <v>234</v>
      </c>
      <c r="K13" s="39">
        <v>1</v>
      </c>
      <c r="L13" s="40">
        <v>1</v>
      </c>
      <c r="M13" s="40">
        <v>5</v>
      </c>
      <c r="N13" s="40">
        <v>0</v>
      </c>
      <c r="O13" s="40">
        <v>1</v>
      </c>
      <c r="P13" s="40">
        <v>0</v>
      </c>
      <c r="Q13" s="40">
        <v>0</v>
      </c>
      <c r="R13" s="55">
        <v>0</v>
      </c>
      <c r="S13" s="198" t="s">
        <v>224</v>
      </c>
      <c r="T13" s="253">
        <v>2</v>
      </c>
      <c r="U13" s="41">
        <v>2</v>
      </c>
      <c r="V13" s="41">
        <v>11</v>
      </c>
      <c r="W13" s="41">
        <v>2</v>
      </c>
      <c r="X13" s="41">
        <v>1</v>
      </c>
      <c r="Y13" s="41">
        <v>0</v>
      </c>
      <c r="Z13" s="41">
        <v>0</v>
      </c>
      <c r="AA13" s="43">
        <v>0</v>
      </c>
      <c r="AB13" s="254" t="s">
        <v>235</v>
      </c>
      <c r="AC13" s="14"/>
      <c r="AD13" s="51">
        <f>AVERAGE(T13,K13,B13)</f>
      </c>
      <c r="AE13" s="232">
        <f>AVERAGE(T13-U13,K13-L13,B13-C13)</f>
      </c>
      <c r="AF13" s="230"/>
      <c r="AG13" s="233"/>
      <c r="AH13" s="230"/>
      <c r="AI13" s="51">
        <f>AVERAGE(Z13,Q13,H13)</f>
      </c>
      <c r="AJ13" s="232">
        <f>AVERAGE(Z13-AA13,Q13-R13,H13-I13)</f>
      </c>
      <c r="AK13" s="230"/>
      <c r="AL13" s="233"/>
    </row>
    <row x14ac:dyDescent="0.25" r="14" customHeight="1" ht="328">
      <c r="A14" s="245" t="s">
        <v>236</v>
      </c>
      <c r="B14" s="100">
        <v>1</v>
      </c>
      <c r="C14" s="41">
        <v>1</v>
      </c>
      <c r="D14" s="41">
        <v>6</v>
      </c>
      <c r="E14" s="41">
        <v>0</v>
      </c>
      <c r="F14" s="41">
        <v>1</v>
      </c>
      <c r="G14" s="41">
        <v>1</v>
      </c>
      <c r="H14" s="41">
        <v>1</v>
      </c>
      <c r="I14" s="43">
        <v>1</v>
      </c>
      <c r="J14" s="198" t="s">
        <v>237</v>
      </c>
      <c r="K14" s="39">
        <v>1</v>
      </c>
      <c r="L14" s="40">
        <v>1</v>
      </c>
      <c r="M14" s="40">
        <v>5</v>
      </c>
      <c r="N14" s="40">
        <v>0</v>
      </c>
      <c r="O14" s="40">
        <v>1</v>
      </c>
      <c r="P14" s="40">
        <v>0</v>
      </c>
      <c r="Q14" s="40">
        <v>0</v>
      </c>
      <c r="R14" s="55">
        <v>0</v>
      </c>
      <c r="S14" s="198" t="s">
        <v>219</v>
      </c>
      <c r="T14" s="39">
        <v>1</v>
      </c>
      <c r="U14" s="40">
        <v>0</v>
      </c>
      <c r="V14" s="40">
        <v>5</v>
      </c>
      <c r="W14" s="40">
        <v>0</v>
      </c>
      <c r="X14" s="40">
        <v>1</v>
      </c>
      <c r="Y14" s="40">
        <v>0</v>
      </c>
      <c r="Z14" s="40">
        <v>3</v>
      </c>
      <c r="AA14" s="55">
        <v>3</v>
      </c>
      <c r="AB14" s="254" t="s">
        <v>238</v>
      </c>
      <c r="AC14" s="14"/>
      <c r="AD14" s="51">
        <f>AVERAGE(T14,K14,B14)</f>
      </c>
      <c r="AE14" s="232">
        <f>AVERAGE(T14-U14,K14-L14,B14-C14)</f>
      </c>
      <c r="AF14" s="232">
        <f>AVERAGE(AD12:AD15)</f>
      </c>
      <c r="AG14" s="237">
        <f>AVERAGE(AE12:AE15)</f>
      </c>
      <c r="AH14" s="230"/>
      <c r="AI14" s="51">
        <f>AVERAGE(Z14,Q14,H14)</f>
      </c>
      <c r="AJ14" s="232">
        <f>AVERAGE(Z14-AA14,Q14-R14,H14-I14)</f>
      </c>
      <c r="AK14" s="232">
        <f>AVERAGE(AI12:AI15)</f>
      </c>
      <c r="AL14" s="237">
        <f>AVERAGE(AJ12:AJ15)</f>
      </c>
    </row>
    <row x14ac:dyDescent="0.25" r="15" customHeight="1" ht="154">
      <c r="A15" s="246" t="s">
        <v>105</v>
      </c>
      <c r="B15" s="107">
        <v>0</v>
      </c>
      <c r="C15" s="108">
        <v>0</v>
      </c>
      <c r="D15" s="108">
        <v>5</v>
      </c>
      <c r="E15" s="108">
        <v>1</v>
      </c>
      <c r="F15" s="108">
        <v>1</v>
      </c>
      <c r="G15" s="108">
        <v>0</v>
      </c>
      <c r="H15" s="108">
        <v>0</v>
      </c>
      <c r="I15" s="110">
        <v>0</v>
      </c>
      <c r="J15" s="111" t="s">
        <v>239</v>
      </c>
      <c r="K15" s="65">
        <v>0</v>
      </c>
      <c r="L15" s="66">
        <v>0</v>
      </c>
      <c r="M15" s="66">
        <v>7</v>
      </c>
      <c r="N15" s="66">
        <v>0</v>
      </c>
      <c r="O15" s="66">
        <v>1</v>
      </c>
      <c r="P15" s="66">
        <v>0</v>
      </c>
      <c r="Q15" s="66">
        <v>0</v>
      </c>
      <c r="R15" s="68">
        <v>0</v>
      </c>
      <c r="S15" s="255"/>
      <c r="T15" s="65">
        <v>0</v>
      </c>
      <c r="U15" s="66">
        <v>0</v>
      </c>
      <c r="V15" s="66">
        <v>5</v>
      </c>
      <c r="W15" s="66">
        <v>1</v>
      </c>
      <c r="X15" s="66">
        <v>1</v>
      </c>
      <c r="Y15" s="66">
        <v>0</v>
      </c>
      <c r="Z15" s="66">
        <v>0</v>
      </c>
      <c r="AA15" s="68">
        <v>0</v>
      </c>
      <c r="AB15" s="141" t="s">
        <v>240</v>
      </c>
      <c r="AC15" s="14"/>
      <c r="AD15" s="78">
        <f>AVERAGE(T15,K15,B15)</f>
      </c>
      <c r="AE15" s="247">
        <f>AVERAGE(T15-U15,K15-L15,B15-C15)</f>
      </c>
      <c r="AF15" s="248"/>
      <c r="AG15" s="249"/>
      <c r="AH15" s="230"/>
      <c r="AI15" s="78">
        <f>AVERAGE(Z15,Q15,H15)</f>
      </c>
      <c r="AJ15" s="247">
        <f>AVERAGE(Z15-AA15,Q15-R15,H15-I15)</f>
      </c>
      <c r="AK15" s="248"/>
      <c r="AL15" s="249"/>
    </row>
  </sheetData>
  <mergeCells count="3">
    <mergeCell ref="B2:J2"/>
    <mergeCell ref="K2:S2"/>
    <mergeCell ref="T2:AB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AF107"/>
  <sheetViews>
    <sheetView workbookViewId="0"/>
  </sheetViews>
  <sheetFormatPr defaultRowHeight="15" x14ac:dyDescent="0.25"/>
  <cols>
    <col min="1" max="1" style="191" width="26.862142857142857" customWidth="1" bestFit="1"/>
    <col min="2" max="2" style="190" width="9.862142857142858" customWidth="1" bestFit="1"/>
    <col min="3" max="3" style="190" width="10.290714285714287" customWidth="1" bestFit="1"/>
    <col min="4" max="4" style="190" width="10.719285714285713" customWidth="1" bestFit="1"/>
    <col min="5" max="5" style="190" width="10.290714285714287" customWidth="1" bestFit="1"/>
    <col min="6" max="6" style="191" width="10.290714285714287" customWidth="1" bestFit="1"/>
    <col min="7" max="7" style="190" width="11.290714285714287" customWidth="1" bestFit="1"/>
    <col min="8" max="8" style="191" width="48.005" customWidth="1" bestFit="1"/>
    <col min="9" max="9" style="192" width="11.862142857142858" customWidth="1" bestFit="1"/>
    <col min="10" max="10" style="192" width="11.862142857142858" customWidth="1" bestFit="1"/>
    <col min="11" max="11" style="192" width="11.862142857142858" customWidth="1" bestFit="1"/>
    <col min="12" max="12" style="192" width="11.862142857142858" customWidth="1" bestFit="1"/>
    <col min="13" max="13" style="189" width="11.862142857142858" customWidth="1" bestFit="1"/>
    <col min="14" max="14" style="192" width="11.862142857142858" customWidth="1" bestFit="1"/>
    <col min="15" max="15" style="189" width="48.29071428571429" customWidth="1" bestFit="1"/>
    <col min="16" max="16" style="192" width="11.862142857142858" customWidth="1" bestFit="1"/>
    <col min="17" max="17" style="192" width="11.862142857142858" customWidth="1" bestFit="1"/>
    <col min="18" max="18" style="192" width="11.862142857142858" customWidth="1" bestFit="1"/>
    <col min="19" max="19" style="192" width="11.862142857142858" customWidth="1" bestFit="1"/>
    <col min="20" max="20" style="189" width="11.862142857142858" customWidth="1" bestFit="1"/>
    <col min="21" max="21" style="192" width="11.862142857142858" customWidth="1" bestFit="1"/>
    <col min="22" max="22" style="189" width="43.86214285714286" customWidth="1" bestFit="1"/>
    <col min="23" max="23" style="193" width="11.862142857142858" customWidth="1" bestFit="1"/>
    <col min="24" max="24" style="193" width="11.862142857142858" customWidth="1" bestFit="1"/>
    <col min="25" max="25" style="193" width="11.862142857142858" customWidth="1" bestFit="1"/>
    <col min="26" max="26" style="193" width="11.862142857142858" customWidth="1" bestFit="1"/>
    <col min="27" max="27" style="193" width="11.862142857142858" customWidth="1" bestFit="1"/>
    <col min="28" max="28" style="193" width="11.862142857142858" customWidth="1" bestFit="1"/>
    <col min="29" max="29" style="193" width="11.862142857142858" customWidth="1" bestFit="1"/>
    <col min="30" max="30" style="193" width="11.862142857142858" customWidth="1" bestFit="1"/>
    <col min="31" max="31" style="193" width="11.862142857142858" customWidth="1" bestFit="1"/>
    <col min="32" max="32" style="193" width="11.862142857142858" customWidth="1" bestFit="1"/>
  </cols>
  <sheetData>
    <row x14ac:dyDescent="0.25" r="1" customHeight="1" ht="136" customFormat="1" s="1">
      <c r="A1" s="2" t="s">
        <v>0</v>
      </c>
      <c r="B1" s="3" t="s">
        <v>1</v>
      </c>
      <c r="C1" s="3"/>
      <c r="D1" s="3"/>
      <c r="E1" s="4"/>
      <c r="F1" s="5"/>
      <c r="G1" s="4"/>
      <c r="H1" s="5"/>
      <c r="I1" s="6"/>
      <c r="J1" s="6"/>
      <c r="K1" s="6"/>
      <c r="L1" s="6"/>
      <c r="M1" s="7"/>
      <c r="N1" s="6"/>
      <c r="O1" s="7"/>
      <c r="P1" s="6"/>
      <c r="Q1" s="6"/>
      <c r="R1" s="6"/>
      <c r="S1" s="6"/>
      <c r="T1" s="7"/>
      <c r="U1" s="6"/>
      <c r="V1" s="7"/>
      <c r="W1" s="8"/>
      <c r="X1" s="8"/>
      <c r="Y1" s="8"/>
      <c r="Z1" s="8"/>
      <c r="AA1" s="8"/>
      <c r="AB1" s="8"/>
      <c r="AC1" s="8"/>
      <c r="AD1" s="8"/>
      <c r="AE1" s="8"/>
      <c r="AF1" s="8"/>
    </row>
    <row x14ac:dyDescent="0.25" r="2" customHeight="1" ht="123" customFormat="1" s="1">
      <c r="A2" s="2" t="s">
        <v>2</v>
      </c>
      <c r="B2" s="3" t="s">
        <v>3</v>
      </c>
      <c r="C2" s="3"/>
      <c r="D2" s="3"/>
      <c r="E2" s="4"/>
      <c r="F2" s="5"/>
      <c r="G2" s="4"/>
      <c r="H2" s="5"/>
      <c r="I2" s="6"/>
      <c r="J2" s="6"/>
      <c r="K2" s="6"/>
      <c r="L2" s="6"/>
      <c r="M2" s="7"/>
      <c r="N2" s="6"/>
      <c r="O2" s="7"/>
      <c r="P2" s="6"/>
      <c r="Q2" s="6"/>
      <c r="R2" s="6"/>
      <c r="S2" s="6"/>
      <c r="T2" s="7"/>
      <c r="U2" s="6"/>
      <c r="V2" s="7"/>
      <c r="W2" s="8"/>
      <c r="X2" s="8"/>
      <c r="Y2" s="8"/>
      <c r="Z2" s="8"/>
      <c r="AA2" s="8"/>
      <c r="AB2" s="8"/>
      <c r="AC2" s="8"/>
      <c r="AD2" s="8"/>
      <c r="AE2" s="8"/>
      <c r="AF2" s="8"/>
    </row>
    <row x14ac:dyDescent="0.25" r="3" customHeight="1" ht="72" customFormat="1" s="1">
      <c r="A3" s="2" t="s">
        <v>4</v>
      </c>
      <c r="B3" s="3" t="s">
        <v>5</v>
      </c>
      <c r="C3" s="3"/>
      <c r="D3" s="3"/>
      <c r="E3" s="4"/>
      <c r="F3" s="5"/>
      <c r="G3" s="4"/>
      <c r="H3" s="5"/>
      <c r="I3" s="6"/>
      <c r="J3" s="6"/>
      <c r="K3" s="6"/>
      <c r="L3" s="6"/>
      <c r="M3" s="7"/>
      <c r="N3" s="6"/>
      <c r="O3" s="7"/>
      <c r="P3" s="6"/>
      <c r="Q3" s="6"/>
      <c r="R3" s="6"/>
      <c r="S3" s="6"/>
      <c r="T3" s="7"/>
      <c r="U3" s="6"/>
      <c r="V3" s="7"/>
      <c r="W3" s="8"/>
      <c r="X3" s="8"/>
      <c r="Y3" s="8"/>
      <c r="Z3" s="8"/>
      <c r="AA3" s="8"/>
      <c r="AB3" s="8"/>
      <c r="AC3" s="8"/>
      <c r="AD3" s="8"/>
      <c r="AE3" s="8"/>
      <c r="AF3" s="8"/>
    </row>
    <row x14ac:dyDescent="0.25" r="4" customHeight="1" ht="80" customFormat="1" s="1">
      <c r="A4" s="2" t="s">
        <v>6</v>
      </c>
      <c r="B4" s="3" t="s">
        <v>7</v>
      </c>
      <c r="C4" s="3"/>
      <c r="D4" s="3"/>
      <c r="E4" s="4"/>
      <c r="F4" s="5"/>
      <c r="G4" s="4"/>
      <c r="H4" s="5"/>
      <c r="I4" s="6"/>
      <c r="J4" s="6"/>
      <c r="K4" s="6"/>
      <c r="L4" s="6"/>
      <c r="M4" s="7"/>
      <c r="N4" s="6"/>
      <c r="O4" s="7"/>
      <c r="P4" s="6"/>
      <c r="Q4" s="6"/>
      <c r="R4" s="6"/>
      <c r="S4" s="6"/>
      <c r="T4" s="7"/>
      <c r="U4" s="6"/>
      <c r="V4" s="7"/>
      <c r="W4" s="8"/>
      <c r="X4" s="8"/>
      <c r="Y4" s="8"/>
      <c r="Z4" s="8"/>
      <c r="AA4" s="8"/>
      <c r="AB4" s="8"/>
      <c r="AC4" s="8"/>
      <c r="AD4" s="8"/>
      <c r="AE4" s="8"/>
      <c r="AF4" s="8"/>
    </row>
    <row x14ac:dyDescent="0.25" r="5" customHeight="1" ht="123" customFormat="1" s="1">
      <c r="A5" s="2" t="s">
        <v>8</v>
      </c>
      <c r="B5" s="3" t="s">
        <v>9</v>
      </c>
      <c r="C5" s="3"/>
      <c r="D5" s="3"/>
      <c r="E5" s="4"/>
      <c r="F5" s="5"/>
      <c r="G5" s="4"/>
      <c r="H5" s="5"/>
      <c r="I5" s="6"/>
      <c r="J5" s="6"/>
      <c r="K5" s="6"/>
      <c r="L5" s="6"/>
      <c r="M5" s="7"/>
      <c r="N5" s="6"/>
      <c r="O5" s="7"/>
      <c r="P5" s="6"/>
      <c r="Q5" s="6"/>
      <c r="R5" s="6"/>
      <c r="S5" s="6"/>
      <c r="T5" s="7"/>
      <c r="U5" s="6"/>
      <c r="V5" s="7"/>
      <c r="W5" s="8"/>
      <c r="X5" s="8"/>
      <c r="Y5" s="8"/>
      <c r="Z5" s="8"/>
      <c r="AA5" s="8"/>
      <c r="AB5" s="8"/>
      <c r="AC5" s="8"/>
      <c r="AD5" s="8"/>
      <c r="AE5" s="8"/>
      <c r="AF5" s="8"/>
    </row>
    <row x14ac:dyDescent="0.25" r="6" customHeight="1" ht="34">
      <c r="A6" s="9" t="s">
        <v>10</v>
      </c>
      <c r="B6" s="10" t="s">
        <v>11</v>
      </c>
      <c r="C6" s="10"/>
      <c r="D6" s="10"/>
      <c r="E6" s="11"/>
      <c r="F6" s="12"/>
      <c r="G6" s="11"/>
      <c r="H6" s="12"/>
      <c r="I6" s="13"/>
      <c r="J6" s="13"/>
      <c r="K6" s="13"/>
      <c r="L6" s="13"/>
      <c r="M6" s="14"/>
      <c r="N6" s="13"/>
      <c r="O6" s="14"/>
      <c r="P6" s="13"/>
      <c r="Q6" s="13"/>
      <c r="R6" s="13"/>
      <c r="S6" s="13"/>
      <c r="T6" s="14"/>
      <c r="U6" s="13"/>
      <c r="V6" s="14"/>
      <c r="W6" s="15"/>
      <c r="X6" s="15"/>
      <c r="Y6" s="15"/>
      <c r="Z6" s="15"/>
      <c r="AA6" s="15"/>
      <c r="AB6" s="15"/>
      <c r="AC6" s="15"/>
      <c r="AD6" s="15"/>
      <c r="AE6" s="15"/>
      <c r="AF6" s="15"/>
    </row>
    <row x14ac:dyDescent="0.25" r="7" customHeight="1" ht="34">
      <c r="A7" s="9" t="s">
        <v>12</v>
      </c>
      <c r="B7" s="10" t="s">
        <v>13</v>
      </c>
      <c r="C7" s="10"/>
      <c r="D7" s="10"/>
      <c r="E7" s="11"/>
      <c r="F7" s="12"/>
      <c r="G7" s="11"/>
      <c r="H7" s="12"/>
      <c r="I7" s="13"/>
      <c r="J7" s="13"/>
      <c r="K7" s="13"/>
      <c r="L7" s="13"/>
      <c r="M7" s="14"/>
      <c r="N7" s="13"/>
      <c r="O7" s="14"/>
      <c r="P7" s="13"/>
      <c r="Q7" s="13"/>
      <c r="R7" s="13"/>
      <c r="S7" s="13"/>
      <c r="T7" s="14"/>
      <c r="U7" s="13"/>
      <c r="V7" s="14"/>
      <c r="W7" s="15"/>
      <c r="X7" s="15"/>
      <c r="Y7" s="15"/>
      <c r="Z7" s="15"/>
      <c r="AA7" s="15"/>
      <c r="AB7" s="15"/>
      <c r="AC7" s="15"/>
      <c r="AD7" s="15"/>
      <c r="AE7" s="15"/>
      <c r="AF7" s="15"/>
    </row>
    <row x14ac:dyDescent="0.25" r="8" customHeight="1" ht="16.5">
      <c r="A8" s="12"/>
      <c r="B8" s="11"/>
      <c r="C8" s="11"/>
      <c r="D8" s="11"/>
      <c r="E8" s="11"/>
      <c r="F8" s="12"/>
      <c r="G8" s="11"/>
      <c r="H8" s="12"/>
      <c r="I8" s="13"/>
      <c r="J8" s="13"/>
      <c r="K8" s="13"/>
      <c r="L8" s="13"/>
      <c r="M8" s="14"/>
      <c r="N8" s="13"/>
      <c r="O8" s="14"/>
      <c r="P8" s="13"/>
      <c r="Q8" s="13"/>
      <c r="R8" s="13"/>
      <c r="S8" s="13"/>
      <c r="T8" s="14"/>
      <c r="U8" s="13"/>
      <c r="V8" s="14"/>
      <c r="W8" s="15"/>
      <c r="X8" s="15"/>
      <c r="Y8" s="15"/>
      <c r="Z8" s="15"/>
      <c r="AA8" s="15"/>
      <c r="AB8" s="15"/>
      <c r="AC8" s="15"/>
      <c r="AD8" s="15"/>
      <c r="AE8" s="15"/>
      <c r="AF8" s="15"/>
    </row>
    <row x14ac:dyDescent="0.25" r="9" customHeight="1" ht="48">
      <c r="A9" s="16" t="s">
        <v>131</v>
      </c>
      <c r="B9" s="17"/>
      <c r="C9" s="17"/>
      <c r="D9" s="17"/>
      <c r="E9" s="17"/>
      <c r="F9" s="16"/>
      <c r="G9" s="17"/>
      <c r="H9" s="16"/>
      <c r="I9" s="17"/>
      <c r="J9" s="17"/>
      <c r="K9" s="17"/>
      <c r="L9" s="17"/>
      <c r="M9" s="16"/>
      <c r="N9" s="17"/>
      <c r="O9" s="16"/>
      <c r="P9" s="17"/>
      <c r="Q9" s="17"/>
      <c r="R9" s="17"/>
      <c r="S9" s="17"/>
      <c r="T9" s="16"/>
      <c r="U9" s="17"/>
      <c r="V9" s="16"/>
      <c r="W9" s="18"/>
      <c r="X9" s="18"/>
      <c r="Y9" s="18"/>
      <c r="Z9" s="18"/>
      <c r="AA9" s="18"/>
      <c r="AB9" s="18"/>
      <c r="AC9" s="18"/>
      <c r="AD9" s="18"/>
      <c r="AE9" s="18"/>
      <c r="AF9" s="18"/>
    </row>
    <row x14ac:dyDescent="0.25" r="10" customHeight="1" ht="16.5">
      <c r="A10" s="12"/>
      <c r="B10" s="11"/>
      <c r="C10" s="11"/>
      <c r="D10" s="11"/>
      <c r="E10" s="11"/>
      <c r="F10" s="12"/>
      <c r="G10" s="11"/>
      <c r="H10" s="12"/>
      <c r="I10" s="13"/>
      <c r="J10" s="13"/>
      <c r="K10" s="13"/>
      <c r="L10" s="13"/>
      <c r="M10" s="14"/>
      <c r="N10" s="13"/>
      <c r="O10" s="14"/>
      <c r="P10" s="13"/>
      <c r="Q10" s="13"/>
      <c r="R10" s="13"/>
      <c r="S10" s="13"/>
      <c r="T10" s="14"/>
      <c r="U10" s="13"/>
      <c r="V10" s="14"/>
      <c r="W10" s="15"/>
      <c r="X10" s="15"/>
      <c r="Y10" s="15"/>
      <c r="Z10" s="15"/>
      <c r="AA10" s="15"/>
      <c r="AB10" s="15"/>
      <c r="AC10" s="15"/>
      <c r="AD10" s="15"/>
      <c r="AE10" s="15"/>
      <c r="AF10" s="15"/>
    </row>
    <row x14ac:dyDescent="0.25" r="11" customHeight="1" ht="16.5">
      <c r="A11" s="12"/>
      <c r="B11" s="19" t="s">
        <v>15</v>
      </c>
      <c r="C11" s="20"/>
      <c r="D11" s="20"/>
      <c r="E11" s="20"/>
      <c r="F11" s="83"/>
      <c r="G11" s="20"/>
      <c r="H11" s="21"/>
      <c r="I11" s="19" t="s">
        <v>16</v>
      </c>
      <c r="J11" s="20"/>
      <c r="K11" s="20"/>
      <c r="L11" s="20"/>
      <c r="M11" s="83"/>
      <c r="N11" s="20"/>
      <c r="O11" s="21"/>
      <c r="P11" s="19" t="s">
        <v>17</v>
      </c>
      <c r="Q11" s="20"/>
      <c r="R11" s="20"/>
      <c r="S11" s="20"/>
      <c r="T11" s="83"/>
      <c r="U11" s="20"/>
      <c r="V11" s="21"/>
      <c r="W11" s="22" t="s">
        <v>18</v>
      </c>
      <c r="X11" s="23"/>
      <c r="Y11" s="23"/>
      <c r="Z11" s="23"/>
      <c r="AA11" s="24"/>
      <c r="AB11" s="22" t="s">
        <v>19</v>
      </c>
      <c r="AC11" s="23"/>
      <c r="AD11" s="23"/>
      <c r="AE11" s="23"/>
      <c r="AF11" s="24"/>
    </row>
    <row x14ac:dyDescent="0.25" r="12" customHeight="1" ht="16.5">
      <c r="A12" s="25" t="s">
        <v>20</v>
      </c>
      <c r="B12" s="26" t="s">
        <v>21</v>
      </c>
      <c r="C12" s="27" t="s">
        <v>22</v>
      </c>
      <c r="D12" s="27" t="s">
        <v>23</v>
      </c>
      <c r="E12" s="27" t="s">
        <v>24</v>
      </c>
      <c r="F12" s="194" t="s">
        <v>25</v>
      </c>
      <c r="G12" s="29" t="s">
        <v>26</v>
      </c>
      <c r="H12" s="30" t="s">
        <v>27</v>
      </c>
      <c r="I12" s="26" t="s">
        <v>21</v>
      </c>
      <c r="J12" s="27" t="s">
        <v>22</v>
      </c>
      <c r="K12" s="27" t="s">
        <v>23</v>
      </c>
      <c r="L12" s="27" t="s">
        <v>24</v>
      </c>
      <c r="M12" s="194" t="s">
        <v>25</v>
      </c>
      <c r="N12" s="29" t="s">
        <v>26</v>
      </c>
      <c r="O12" s="31" t="s">
        <v>27</v>
      </c>
      <c r="P12" s="26" t="s">
        <v>21</v>
      </c>
      <c r="Q12" s="32" t="s">
        <v>22</v>
      </c>
      <c r="R12" s="32" t="s">
        <v>23</v>
      </c>
      <c r="S12" s="32" t="s">
        <v>24</v>
      </c>
      <c r="T12" s="30" t="s">
        <v>25</v>
      </c>
      <c r="U12" s="34" t="s">
        <v>26</v>
      </c>
      <c r="V12" s="30" t="s">
        <v>27</v>
      </c>
      <c r="W12" s="35" t="s">
        <v>21</v>
      </c>
      <c r="X12" s="36" t="s">
        <v>22</v>
      </c>
      <c r="Y12" s="36" t="s">
        <v>23</v>
      </c>
      <c r="Z12" s="36" t="s">
        <v>24</v>
      </c>
      <c r="AA12" s="37" t="s">
        <v>28</v>
      </c>
      <c r="AB12" s="35" t="s">
        <v>21</v>
      </c>
      <c r="AC12" s="36" t="s">
        <v>22</v>
      </c>
      <c r="AD12" s="36" t="s">
        <v>23</v>
      </c>
      <c r="AE12" s="36" t="s">
        <v>24</v>
      </c>
      <c r="AF12" s="37" t="s">
        <v>28</v>
      </c>
    </row>
    <row x14ac:dyDescent="0.25" r="13" customHeight="1" ht="83">
      <c r="A13" s="38" t="s">
        <v>29</v>
      </c>
      <c r="B13" s="39">
        <v>0</v>
      </c>
      <c r="C13" s="40">
        <v>2</v>
      </c>
      <c r="D13" s="41">
        <v>0</v>
      </c>
      <c r="E13" s="40">
        <v>1</v>
      </c>
      <c r="F13" s="195"/>
      <c r="G13" s="43">
        <v>0</v>
      </c>
      <c r="H13" s="102"/>
      <c r="I13" s="39">
        <v>0</v>
      </c>
      <c r="J13" s="40">
        <v>1</v>
      </c>
      <c r="K13" s="40">
        <v>0</v>
      </c>
      <c r="L13" s="40">
        <v>1</v>
      </c>
      <c r="M13" s="195"/>
      <c r="N13" s="55">
        <v>0</v>
      </c>
      <c r="O13" s="196"/>
      <c r="P13" s="39">
        <v>0</v>
      </c>
      <c r="Q13" s="40">
        <v>4</v>
      </c>
      <c r="R13" s="40">
        <v>0</v>
      </c>
      <c r="S13" s="40">
        <v>1</v>
      </c>
      <c r="T13" s="195"/>
      <c r="U13" s="55">
        <v>2</v>
      </c>
      <c r="V13" s="196" t="s">
        <v>132</v>
      </c>
      <c r="W13" s="51">
        <f>AVERAGE(B13,I13,P13)</f>
      </c>
      <c r="X13" s="51">
        <f>AVERAGE(C13,J13,Q13)</f>
      </c>
      <c r="Y13" s="51">
        <f>AVERAGE(D13,K13,R13)</f>
      </c>
      <c r="Z13" s="51">
        <f>AVERAGE(E13,L13,S13)</f>
      </c>
      <c r="AA13" s="52">
        <f>AVERAGE(G13,N13,U13)</f>
      </c>
      <c r="AB13" s="53">
        <f>STDEV(B13,I13,P13)</f>
      </c>
      <c r="AC13" s="53">
        <f>STDEV(C13,J13,Q13)</f>
      </c>
      <c r="AD13" s="53">
        <f>STDEV(D13,K13,R13)</f>
      </c>
      <c r="AE13" s="53">
        <f>STDEV(E13,L13,S13)</f>
      </c>
      <c r="AF13" s="54">
        <f>STDEV(G13,N13,U13)</f>
      </c>
    </row>
    <row x14ac:dyDescent="0.25" r="14" customHeight="1" ht="106">
      <c r="A14" s="38" t="s">
        <v>32</v>
      </c>
      <c r="B14" s="39">
        <v>0</v>
      </c>
      <c r="C14" s="40">
        <v>2</v>
      </c>
      <c r="D14" s="40">
        <v>0</v>
      </c>
      <c r="E14" s="40">
        <v>1</v>
      </c>
      <c r="F14" s="195"/>
      <c r="G14" s="55">
        <v>0</v>
      </c>
      <c r="H14" s="102"/>
      <c r="I14" s="39">
        <v>0</v>
      </c>
      <c r="J14" s="40">
        <v>3</v>
      </c>
      <c r="K14" s="40">
        <v>0</v>
      </c>
      <c r="L14" s="40">
        <v>1</v>
      </c>
      <c r="M14" s="195"/>
      <c r="N14" s="55">
        <v>1</v>
      </c>
      <c r="O14" s="102" t="s">
        <v>133</v>
      </c>
      <c r="P14" s="39">
        <v>0</v>
      </c>
      <c r="Q14" s="40">
        <v>1</v>
      </c>
      <c r="R14" s="40">
        <v>0</v>
      </c>
      <c r="S14" s="40">
        <v>0</v>
      </c>
      <c r="T14" s="195"/>
      <c r="U14" s="55">
        <v>0</v>
      </c>
      <c r="V14" s="102" t="s">
        <v>134</v>
      </c>
      <c r="W14" s="51">
        <f>AVERAGE(B14,I14,P14)</f>
      </c>
      <c r="X14" s="51">
        <f>AVERAGE(C14,J14,Q14)</f>
      </c>
      <c r="Y14" s="51">
        <f>AVERAGE(D14,K14,R14)</f>
      </c>
      <c r="Z14" s="51">
        <f>AVERAGE(E14,L14,S14)</f>
      </c>
      <c r="AA14" s="52">
        <f>AVERAGE(G14,N14,U14)</f>
      </c>
      <c r="AB14" s="53">
        <f>STDEV(B14,I14,P14)</f>
      </c>
      <c r="AC14" s="53">
        <f>STDEV(C14,J14,Q14)</f>
      </c>
      <c r="AD14" s="53">
        <f>STDEV(D14,K14,R14)</f>
      </c>
      <c r="AE14" s="53">
        <f>STDEV(E14,L14,S14)</f>
      </c>
      <c r="AF14" s="54">
        <f>STDEV(G14,N14,U14)</f>
      </c>
    </row>
    <row x14ac:dyDescent="0.25" r="15" customHeight="1" ht="106">
      <c r="A15" s="58" t="s">
        <v>34</v>
      </c>
      <c r="B15" s="59">
        <v>0</v>
      </c>
      <c r="C15" s="60">
        <v>2</v>
      </c>
      <c r="D15" s="60">
        <v>0</v>
      </c>
      <c r="E15" s="60">
        <v>1</v>
      </c>
      <c r="F15" s="197"/>
      <c r="G15" s="62">
        <v>0</v>
      </c>
      <c r="H15" s="198"/>
      <c r="I15" s="59">
        <v>0</v>
      </c>
      <c r="J15" s="60">
        <v>3</v>
      </c>
      <c r="K15" s="60">
        <v>0</v>
      </c>
      <c r="L15" s="60">
        <v>1</v>
      </c>
      <c r="M15" s="197"/>
      <c r="N15" s="62">
        <v>1</v>
      </c>
      <c r="O15" s="102" t="s">
        <v>133</v>
      </c>
      <c r="P15" s="59">
        <v>0</v>
      </c>
      <c r="Q15" s="60">
        <v>1</v>
      </c>
      <c r="R15" s="60">
        <v>0</v>
      </c>
      <c r="S15" s="60">
        <v>1</v>
      </c>
      <c r="T15" s="197"/>
      <c r="U15" s="62">
        <v>0</v>
      </c>
      <c r="V15" s="198"/>
      <c r="W15" s="51">
        <f>AVERAGE(B15,I15,P15)</f>
      </c>
      <c r="X15" s="51">
        <f>AVERAGE(C15,J15,Q15)</f>
      </c>
      <c r="Y15" s="51">
        <f>AVERAGE(D15,K15,R15)</f>
      </c>
      <c r="Z15" s="51">
        <f>AVERAGE(E15,L15,S15)</f>
      </c>
      <c r="AA15" s="52">
        <f>AVERAGE(G15,N15,U15)</f>
      </c>
      <c r="AB15" s="53">
        <f>STDEV(B15,I15,P15)</f>
      </c>
      <c r="AC15" s="53">
        <f>STDEV(C15,J15,Q15)</f>
      </c>
      <c r="AD15" s="53">
        <f>STDEV(D15,K15,R15)</f>
      </c>
      <c r="AE15" s="53">
        <f>STDEV(E15,L15,S15)</f>
      </c>
      <c r="AF15" s="54">
        <f>STDEV(G15,N15,U15)</f>
      </c>
    </row>
    <row x14ac:dyDescent="0.25" r="16" customHeight="1" ht="106">
      <c r="A16" s="64" t="s">
        <v>37</v>
      </c>
      <c r="B16" s="65">
        <v>0</v>
      </c>
      <c r="C16" s="66">
        <v>4</v>
      </c>
      <c r="D16" s="66">
        <v>0</v>
      </c>
      <c r="E16" s="66">
        <v>1</v>
      </c>
      <c r="F16" s="199"/>
      <c r="G16" s="68">
        <v>2</v>
      </c>
      <c r="H16" s="111" t="s">
        <v>135</v>
      </c>
      <c r="I16" s="65">
        <v>0</v>
      </c>
      <c r="J16" s="66">
        <v>4</v>
      </c>
      <c r="K16" s="66">
        <v>0</v>
      </c>
      <c r="L16" s="66">
        <v>1</v>
      </c>
      <c r="M16" s="199"/>
      <c r="N16" s="68">
        <v>2</v>
      </c>
      <c r="O16" s="200" t="s">
        <v>136</v>
      </c>
      <c r="P16" s="65">
        <v>0</v>
      </c>
      <c r="Q16" s="66">
        <v>4</v>
      </c>
      <c r="R16" s="66">
        <v>0</v>
      </c>
      <c r="S16" s="66">
        <v>1</v>
      </c>
      <c r="T16" s="199"/>
      <c r="U16" s="68">
        <v>2</v>
      </c>
      <c r="V16" s="200" t="s">
        <v>132</v>
      </c>
      <c r="W16" s="78">
        <f>AVERAGE(B16,I16,P16)</f>
      </c>
      <c r="X16" s="78">
        <f>AVERAGE(C16,J16,Q16)</f>
      </c>
      <c r="Y16" s="78">
        <f>AVERAGE(D16,K16,R16)</f>
      </c>
      <c r="Z16" s="78">
        <f>AVERAGE(E16,L16,S16)</f>
      </c>
      <c r="AA16" s="79">
        <f>AVERAGE(G16,N16,U16)</f>
      </c>
      <c r="AB16" s="80">
        <f>STDEV(B16,I16,P16)</f>
      </c>
      <c r="AC16" s="80">
        <f>STDEV(C16,J16,Q16)</f>
      </c>
      <c r="AD16" s="80">
        <f>STDEV(D16,K16,R16)</f>
      </c>
      <c r="AE16" s="80">
        <f>STDEV(E16,L16,S16)</f>
      </c>
      <c r="AF16" s="81">
        <f>STDEV(G16,N16,U16)</f>
      </c>
    </row>
    <row x14ac:dyDescent="0.25" r="17" customHeight="1" ht="16.5">
      <c r="A17" s="12"/>
      <c r="B17" s="11"/>
      <c r="C17" s="11"/>
      <c r="D17" s="11"/>
      <c r="E17" s="11"/>
      <c r="F17" s="12"/>
      <c r="G17" s="11"/>
      <c r="H17" s="12"/>
      <c r="I17" s="13"/>
      <c r="J17" s="13"/>
      <c r="K17" s="13"/>
      <c r="L17" s="13"/>
      <c r="M17" s="14"/>
      <c r="N17" s="13"/>
      <c r="O17" s="14"/>
      <c r="P17" s="13"/>
      <c r="Q17" s="13"/>
      <c r="R17" s="13"/>
      <c r="S17" s="13"/>
      <c r="T17" s="14"/>
      <c r="U17" s="13"/>
      <c r="V17" s="14"/>
      <c r="W17" s="15"/>
      <c r="X17" s="15"/>
      <c r="Y17" s="15"/>
      <c r="Z17" s="15"/>
      <c r="AA17" s="15"/>
      <c r="AB17" s="82"/>
      <c r="AC17" s="15"/>
      <c r="AD17" s="15"/>
      <c r="AE17" s="15"/>
      <c r="AF17" s="15"/>
    </row>
    <row x14ac:dyDescent="0.25" r="18" customHeight="1" ht="16.5">
      <c r="A18" s="12"/>
      <c r="B18" s="11"/>
      <c r="C18" s="11"/>
      <c r="D18" s="11"/>
      <c r="E18" s="11"/>
      <c r="F18" s="12"/>
      <c r="G18" s="11"/>
      <c r="H18" s="12"/>
      <c r="I18" s="13"/>
      <c r="J18" s="13"/>
      <c r="K18" s="13"/>
      <c r="L18" s="13"/>
      <c r="M18" s="14"/>
      <c r="N18" s="13"/>
      <c r="O18" s="14"/>
      <c r="P18" s="13"/>
      <c r="Q18" s="13"/>
      <c r="R18" s="13"/>
      <c r="S18" s="13"/>
      <c r="T18" s="14"/>
      <c r="U18" s="13"/>
      <c r="V18" s="14"/>
      <c r="W18" s="15"/>
      <c r="X18" s="15"/>
      <c r="Y18" s="15"/>
      <c r="Z18" s="15"/>
      <c r="AA18" s="15"/>
      <c r="AB18" s="15"/>
      <c r="AC18" s="15"/>
      <c r="AD18" s="15"/>
      <c r="AE18" s="15"/>
      <c r="AF18" s="15"/>
    </row>
    <row x14ac:dyDescent="0.25" r="19" customHeight="1" ht="16.5">
      <c r="A19" s="12"/>
      <c r="B19" s="11"/>
      <c r="C19" s="11"/>
      <c r="D19" s="11"/>
      <c r="E19" s="11"/>
      <c r="F19" s="12"/>
      <c r="G19" s="11"/>
      <c r="H19" s="12"/>
      <c r="I19" s="13"/>
      <c r="J19" s="13"/>
      <c r="K19" s="13"/>
      <c r="L19" s="13"/>
      <c r="M19" s="14"/>
      <c r="N19" s="13"/>
      <c r="O19" s="14"/>
      <c r="P19" s="13"/>
      <c r="Q19" s="13"/>
      <c r="R19" s="13"/>
      <c r="S19" s="13"/>
      <c r="T19" s="14"/>
      <c r="U19" s="13"/>
      <c r="V19" s="14"/>
      <c r="W19" s="15"/>
      <c r="X19" s="15"/>
      <c r="Y19" s="15"/>
      <c r="Z19" s="15"/>
      <c r="AA19" s="15"/>
      <c r="AB19" s="15"/>
      <c r="AC19" s="15"/>
      <c r="AD19" s="15"/>
      <c r="AE19" s="15"/>
      <c r="AF19" s="15"/>
    </row>
    <row x14ac:dyDescent="0.25" r="20" customHeight="1" ht="16.5">
      <c r="A20" s="12"/>
      <c r="B20" s="19" t="s">
        <v>15</v>
      </c>
      <c r="C20" s="20"/>
      <c r="D20" s="20"/>
      <c r="E20" s="20"/>
      <c r="F20" s="83"/>
      <c r="G20" s="20"/>
      <c r="H20" s="83"/>
      <c r="I20" s="84" t="s">
        <v>16</v>
      </c>
      <c r="J20" s="85"/>
      <c r="K20" s="85"/>
      <c r="L20" s="85"/>
      <c r="M20" s="201"/>
      <c r="N20" s="85"/>
      <c r="O20" s="21"/>
      <c r="P20" s="19" t="s">
        <v>17</v>
      </c>
      <c r="Q20" s="20"/>
      <c r="R20" s="20"/>
      <c r="S20" s="20"/>
      <c r="T20" s="83"/>
      <c r="U20" s="20"/>
      <c r="V20" s="21"/>
      <c r="W20" s="22" t="s">
        <v>18</v>
      </c>
      <c r="X20" s="23"/>
      <c r="Y20" s="23"/>
      <c r="Z20" s="23"/>
      <c r="AA20" s="24"/>
      <c r="AB20" s="22" t="s">
        <v>19</v>
      </c>
      <c r="AC20" s="23"/>
      <c r="AD20" s="23"/>
      <c r="AE20" s="23"/>
      <c r="AF20" s="24"/>
    </row>
    <row x14ac:dyDescent="0.25" r="21" customHeight="1" ht="16.5">
      <c r="A21" s="25" t="s">
        <v>20</v>
      </c>
      <c r="B21" s="26" t="s">
        <v>21</v>
      </c>
      <c r="C21" s="27" t="s">
        <v>22</v>
      </c>
      <c r="D21" s="27" t="s">
        <v>23</v>
      </c>
      <c r="E21" s="27" t="s">
        <v>24</v>
      </c>
      <c r="F21" s="194" t="s">
        <v>25</v>
      </c>
      <c r="G21" s="29" t="s">
        <v>28</v>
      </c>
      <c r="H21" s="30" t="s">
        <v>27</v>
      </c>
      <c r="I21" s="86" t="s">
        <v>21</v>
      </c>
      <c r="J21" s="87" t="s">
        <v>22</v>
      </c>
      <c r="K21" s="87" t="s">
        <v>23</v>
      </c>
      <c r="L21" s="87" t="s">
        <v>24</v>
      </c>
      <c r="M21" s="202" t="s">
        <v>25</v>
      </c>
      <c r="N21" s="89" t="s">
        <v>28</v>
      </c>
      <c r="O21" s="90" t="s">
        <v>27</v>
      </c>
      <c r="P21" s="26" t="s">
        <v>21</v>
      </c>
      <c r="Q21" s="32" t="s">
        <v>22</v>
      </c>
      <c r="R21" s="32" t="s">
        <v>23</v>
      </c>
      <c r="S21" s="32" t="s">
        <v>24</v>
      </c>
      <c r="T21" s="30" t="s">
        <v>25</v>
      </c>
      <c r="U21" s="34" t="s">
        <v>28</v>
      </c>
      <c r="V21" s="30" t="s">
        <v>27</v>
      </c>
      <c r="W21" s="35" t="s">
        <v>21</v>
      </c>
      <c r="X21" s="36" t="s">
        <v>22</v>
      </c>
      <c r="Y21" s="36" t="s">
        <v>23</v>
      </c>
      <c r="Z21" s="36" t="s">
        <v>24</v>
      </c>
      <c r="AA21" s="37" t="s">
        <v>28</v>
      </c>
      <c r="AB21" s="35" t="s">
        <v>21</v>
      </c>
      <c r="AC21" s="36" t="s">
        <v>22</v>
      </c>
      <c r="AD21" s="36" t="s">
        <v>23</v>
      </c>
      <c r="AE21" s="36" t="s">
        <v>24</v>
      </c>
      <c r="AF21" s="37" t="s">
        <v>28</v>
      </c>
    </row>
    <row x14ac:dyDescent="0.25" r="22" customHeight="1" ht="104">
      <c r="A22" s="38" t="s">
        <v>38</v>
      </c>
      <c r="B22" s="39">
        <v>0</v>
      </c>
      <c r="C22" s="40">
        <v>6</v>
      </c>
      <c r="D22" s="40">
        <v>0</v>
      </c>
      <c r="E22" s="40">
        <v>1</v>
      </c>
      <c r="F22" s="195"/>
      <c r="G22" s="55">
        <v>4</v>
      </c>
      <c r="H22" s="102" t="s">
        <v>137</v>
      </c>
      <c r="I22" s="39">
        <v>0</v>
      </c>
      <c r="J22" s="40">
        <v>3</v>
      </c>
      <c r="K22" s="40">
        <v>0</v>
      </c>
      <c r="L22" s="40">
        <v>1</v>
      </c>
      <c r="M22" s="195"/>
      <c r="N22" s="55">
        <v>1</v>
      </c>
      <c r="O22" s="203" t="s">
        <v>138</v>
      </c>
      <c r="P22" s="39">
        <v>2</v>
      </c>
      <c r="Q22" s="40">
        <v>5</v>
      </c>
      <c r="R22" s="40">
        <v>0</v>
      </c>
      <c r="S22" s="40">
        <v>0</v>
      </c>
      <c r="T22" s="195"/>
      <c r="U22" s="55">
        <v>2</v>
      </c>
      <c r="V22" s="102" t="s">
        <v>139</v>
      </c>
      <c r="W22" s="51">
        <f>AVERAGE(B22,I22,P22)</f>
      </c>
      <c r="X22" s="51">
        <f>AVERAGE(C22,J22,Q22)</f>
      </c>
      <c r="Y22" s="51">
        <f>AVERAGE(D22,K22,R22)</f>
      </c>
      <c r="Z22" s="51">
        <f>AVERAGE(E22,L22,S22)</f>
      </c>
      <c r="AA22" s="51">
        <f>AVERAGE(G22,N22,U22)</f>
      </c>
      <c r="AB22" s="53">
        <f>STDEV(B22,I22,P22)</f>
      </c>
      <c r="AC22" s="53">
        <f>STDEV(C22,J22,Q22)</f>
      </c>
      <c r="AD22" s="53">
        <f>STDEV(D22,K22,R22)</f>
      </c>
      <c r="AE22" s="53">
        <f>STDEV(E22,L22,S22)</f>
      </c>
      <c r="AF22" s="54">
        <f>STDEV(G22,N22,U22)</f>
      </c>
    </row>
    <row x14ac:dyDescent="0.25" r="23" customHeight="1" ht="104">
      <c r="A23" s="38" t="s">
        <v>42</v>
      </c>
      <c r="B23" s="39">
        <v>0</v>
      </c>
      <c r="C23" s="40">
        <v>4</v>
      </c>
      <c r="D23" s="40">
        <v>0</v>
      </c>
      <c r="E23" s="40">
        <v>1</v>
      </c>
      <c r="F23" s="195"/>
      <c r="G23" s="55">
        <v>3</v>
      </c>
      <c r="H23" s="102" t="s">
        <v>140</v>
      </c>
      <c r="I23" s="39">
        <v>0</v>
      </c>
      <c r="J23" s="40">
        <v>4</v>
      </c>
      <c r="K23" s="40">
        <v>0</v>
      </c>
      <c r="L23" s="40">
        <v>1</v>
      </c>
      <c r="M23" s="195"/>
      <c r="N23" s="55">
        <v>3</v>
      </c>
      <c r="O23" s="102" t="s">
        <v>140</v>
      </c>
      <c r="P23" s="39">
        <v>4</v>
      </c>
      <c r="Q23" s="40">
        <v>7</v>
      </c>
      <c r="R23" s="40">
        <v>0</v>
      </c>
      <c r="S23" s="40">
        <v>0</v>
      </c>
      <c r="T23" s="195"/>
      <c r="U23" s="55">
        <v>2</v>
      </c>
      <c r="V23" s="102" t="s">
        <v>141</v>
      </c>
      <c r="W23" s="51">
        <f>AVERAGE(B23,I23,P23)</f>
      </c>
      <c r="X23" s="51">
        <f>AVERAGE(C23,J23,Q23)</f>
      </c>
      <c r="Y23" s="51">
        <f>AVERAGE(D23,K23,R23)</f>
      </c>
      <c r="Z23" s="51">
        <f>AVERAGE(E23,L23,S23)</f>
      </c>
      <c r="AA23" s="51">
        <f>AVERAGE(G23,N23,U23)</f>
      </c>
      <c r="AB23" s="53">
        <f>STDEV(B23,I23,P23)</f>
      </c>
      <c r="AC23" s="53">
        <f>STDEV(C23,J23,Q23)</f>
      </c>
      <c r="AD23" s="53">
        <f>STDEV(D23,K23,R23)</f>
      </c>
      <c r="AE23" s="53">
        <f>STDEV(E23,L23,S23)</f>
      </c>
      <c r="AF23" s="54">
        <f>STDEV(G23,N23,U23)</f>
      </c>
    </row>
    <row x14ac:dyDescent="0.25" r="24" customHeight="1" ht="156">
      <c r="A24" s="38" t="s">
        <v>46</v>
      </c>
      <c r="B24" s="39">
        <v>0</v>
      </c>
      <c r="C24" s="40">
        <v>4</v>
      </c>
      <c r="D24" s="40">
        <v>0</v>
      </c>
      <c r="E24" s="40">
        <v>1</v>
      </c>
      <c r="F24" s="195"/>
      <c r="G24" s="55">
        <v>2</v>
      </c>
      <c r="H24" s="102" t="s">
        <v>142</v>
      </c>
      <c r="I24" s="39">
        <v>0</v>
      </c>
      <c r="J24" s="40">
        <v>4</v>
      </c>
      <c r="K24" s="40">
        <v>0</v>
      </c>
      <c r="L24" s="40">
        <v>1</v>
      </c>
      <c r="M24" s="195"/>
      <c r="N24" s="55">
        <v>3</v>
      </c>
      <c r="O24" s="133" t="s">
        <v>143</v>
      </c>
      <c r="P24" s="39">
        <v>0</v>
      </c>
      <c r="Q24" s="40">
        <v>4</v>
      </c>
      <c r="R24" s="40">
        <v>0</v>
      </c>
      <c r="S24" s="40">
        <v>1</v>
      </c>
      <c r="T24" s="195"/>
      <c r="U24" s="55">
        <v>3</v>
      </c>
      <c r="V24" s="102" t="s">
        <v>144</v>
      </c>
      <c r="W24" s="51">
        <f>AVERAGE(B24,I24,P24)</f>
      </c>
      <c r="X24" s="51">
        <f>AVERAGE(C24,J24,Q24)</f>
      </c>
      <c r="Y24" s="51">
        <f>AVERAGE(D24,K24,R24)</f>
      </c>
      <c r="Z24" s="51">
        <f>AVERAGE(E24,L24,S24)</f>
      </c>
      <c r="AA24" s="51">
        <f>AVERAGE(G24,N24,U24)</f>
      </c>
      <c r="AB24" s="53">
        <f>STDEV(B24,I24,P24)</f>
      </c>
      <c r="AC24" s="53">
        <f>STDEV(C24,J24,Q24)</f>
      </c>
      <c r="AD24" s="53">
        <f>STDEV(D24,K24,R24)</f>
      </c>
      <c r="AE24" s="53">
        <f>STDEV(E24,L24,S24)</f>
      </c>
      <c r="AF24" s="54">
        <f>STDEV(G24,N24,U24)</f>
      </c>
    </row>
    <row x14ac:dyDescent="0.25" r="25" customHeight="1" ht="124">
      <c r="A25" s="64" t="s">
        <v>50</v>
      </c>
      <c r="B25" s="65">
        <v>0</v>
      </c>
      <c r="C25" s="66">
        <v>4</v>
      </c>
      <c r="D25" s="66">
        <v>0</v>
      </c>
      <c r="E25" s="66">
        <v>1</v>
      </c>
      <c r="F25" s="199"/>
      <c r="G25" s="68">
        <v>3</v>
      </c>
      <c r="H25" s="111" t="s">
        <v>145</v>
      </c>
      <c r="I25" s="65">
        <v>0</v>
      </c>
      <c r="J25" s="66">
        <v>3</v>
      </c>
      <c r="K25" s="66">
        <v>0</v>
      </c>
      <c r="L25" s="66">
        <v>1</v>
      </c>
      <c r="M25" s="199"/>
      <c r="N25" s="68">
        <v>1</v>
      </c>
      <c r="O25" s="204" t="s">
        <v>146</v>
      </c>
      <c r="P25" s="65">
        <v>0</v>
      </c>
      <c r="Q25" s="66">
        <v>4</v>
      </c>
      <c r="R25" s="66">
        <v>0</v>
      </c>
      <c r="S25" s="66">
        <v>1</v>
      </c>
      <c r="T25" s="199"/>
      <c r="U25" s="68">
        <v>2</v>
      </c>
      <c r="V25" s="200" t="s">
        <v>147</v>
      </c>
      <c r="W25" s="78">
        <f>AVERAGE(B25,I32,P25)</f>
      </c>
      <c r="X25" s="78">
        <f>AVERAGE(C25,J32,Q25)</f>
      </c>
      <c r="Y25" s="78">
        <f>AVERAGE(D25,K32,R25)</f>
      </c>
      <c r="Z25" s="78">
        <f>AVERAGE(E25,L32,S25)</f>
      </c>
      <c r="AA25" s="78">
        <f>AVERAGE(G25,N32,U25)</f>
      </c>
      <c r="AB25" s="80">
        <f>STDEV(B25,I32,P25)</f>
      </c>
      <c r="AC25" s="80">
        <f>STDEV(C25,J32,Q25)</f>
      </c>
      <c r="AD25" s="80">
        <f>STDEV(D25,K32,R25)</f>
      </c>
      <c r="AE25" s="80">
        <f>STDEV(E25,L32,S25)</f>
      </c>
      <c r="AF25" s="81">
        <f>STDEV(G25,N32,U25)</f>
      </c>
    </row>
    <row x14ac:dyDescent="0.25" r="26" customHeight="1" ht="16.5">
      <c r="A26" s="12"/>
      <c r="B26" s="11"/>
      <c r="C26" s="11"/>
      <c r="D26" s="11"/>
      <c r="E26" s="11"/>
      <c r="F26" s="12"/>
      <c r="G26" s="11"/>
      <c r="H26" s="12"/>
      <c r="I26" s="13"/>
      <c r="J26" s="13"/>
      <c r="K26" s="13"/>
      <c r="L26" s="13"/>
      <c r="M26" s="14"/>
      <c r="N26" s="13"/>
      <c r="O26" s="14"/>
      <c r="P26" s="13"/>
      <c r="Q26" s="13"/>
      <c r="R26" s="13"/>
      <c r="S26" s="13"/>
      <c r="T26" s="14"/>
      <c r="U26" s="13"/>
      <c r="V26" s="14"/>
      <c r="W26" s="15"/>
      <c r="X26" s="15"/>
      <c r="Y26" s="15"/>
      <c r="Z26" s="15"/>
      <c r="AA26" s="15"/>
      <c r="AB26" s="15"/>
      <c r="AC26" s="15"/>
      <c r="AD26" s="15"/>
      <c r="AE26" s="15"/>
      <c r="AF26" s="15"/>
    </row>
    <row x14ac:dyDescent="0.25" r="27" customHeight="1" ht="16.5">
      <c r="A27" s="12"/>
      <c r="B27" s="11"/>
      <c r="C27" s="11"/>
      <c r="D27" s="11"/>
      <c r="E27" s="11"/>
      <c r="F27" s="12"/>
      <c r="G27" s="11"/>
      <c r="H27" s="12"/>
      <c r="I27" s="13"/>
      <c r="J27" s="13"/>
      <c r="K27" s="13"/>
      <c r="L27" s="13"/>
      <c r="M27" s="14"/>
      <c r="N27" s="13"/>
      <c r="O27" s="14"/>
      <c r="P27" s="13"/>
      <c r="Q27" s="13"/>
      <c r="R27" s="13"/>
      <c r="S27" s="13"/>
      <c r="T27" s="14"/>
      <c r="U27" s="13"/>
      <c r="V27" s="14"/>
      <c r="W27" s="15"/>
      <c r="X27" s="15"/>
      <c r="Y27" s="15"/>
      <c r="Z27" s="15"/>
      <c r="AA27" s="15"/>
      <c r="AB27" s="15"/>
      <c r="AC27" s="15"/>
      <c r="AD27" s="15"/>
      <c r="AE27" s="15"/>
      <c r="AF27" s="15"/>
    </row>
    <row x14ac:dyDescent="0.25" r="28" customHeight="1" ht="16.5">
      <c r="A28" s="12"/>
      <c r="B28" s="11"/>
      <c r="C28" s="11"/>
      <c r="D28" s="11"/>
      <c r="E28" s="11"/>
      <c r="F28" s="12"/>
      <c r="G28" s="11"/>
      <c r="H28" s="12"/>
      <c r="I28" s="13"/>
      <c r="J28" s="13"/>
      <c r="K28" s="13"/>
      <c r="L28" s="13"/>
      <c r="M28" s="14"/>
      <c r="N28" s="13"/>
      <c r="O28" s="14"/>
      <c r="P28" s="13"/>
      <c r="Q28" s="13"/>
      <c r="R28" s="13"/>
      <c r="S28" s="13"/>
      <c r="T28" s="14"/>
      <c r="U28" s="13"/>
      <c r="V28" s="14"/>
      <c r="W28" s="15"/>
      <c r="X28" s="15"/>
      <c r="Y28" s="15"/>
      <c r="Z28" s="15"/>
      <c r="AA28" s="15"/>
      <c r="AB28" s="15"/>
      <c r="AC28" s="15"/>
      <c r="AD28" s="15"/>
      <c r="AE28" s="15"/>
      <c r="AF28" s="15"/>
    </row>
    <row x14ac:dyDescent="0.25" r="29" customHeight="1" ht="16.5">
      <c r="A29" s="12"/>
      <c r="B29" s="11"/>
      <c r="C29" s="11"/>
      <c r="D29" s="11"/>
      <c r="E29" s="11"/>
      <c r="F29" s="12"/>
      <c r="G29" s="11"/>
      <c r="H29" s="12"/>
      <c r="I29" s="13"/>
      <c r="J29" s="13"/>
      <c r="K29" s="13"/>
      <c r="L29" s="13"/>
      <c r="M29" s="14"/>
      <c r="N29" s="13"/>
      <c r="O29" s="14"/>
      <c r="P29" s="13"/>
      <c r="Q29" s="13"/>
      <c r="R29" s="13"/>
      <c r="S29" s="13"/>
      <c r="T29" s="14"/>
      <c r="U29" s="13"/>
      <c r="V29" s="14"/>
      <c r="W29" s="15"/>
      <c r="X29" s="15"/>
      <c r="Y29" s="15"/>
      <c r="Z29" s="15"/>
      <c r="AA29" s="15"/>
      <c r="AB29" s="15"/>
      <c r="AC29" s="15"/>
      <c r="AD29" s="15"/>
      <c r="AE29" s="15"/>
      <c r="AF29" s="15"/>
    </row>
    <row x14ac:dyDescent="0.25" r="30" customHeight="1" ht="16.5">
      <c r="A30" s="12"/>
      <c r="B30" s="19" t="s">
        <v>15</v>
      </c>
      <c r="C30" s="20"/>
      <c r="D30" s="20"/>
      <c r="E30" s="20"/>
      <c r="F30" s="83"/>
      <c r="G30" s="20"/>
      <c r="H30" s="21"/>
      <c r="I30" s="19" t="s">
        <v>16</v>
      </c>
      <c r="J30" s="20"/>
      <c r="K30" s="20"/>
      <c r="L30" s="20"/>
      <c r="M30" s="83"/>
      <c r="N30" s="20"/>
      <c r="O30" s="21"/>
      <c r="P30" s="19" t="s">
        <v>17</v>
      </c>
      <c r="Q30" s="20"/>
      <c r="R30" s="20"/>
      <c r="S30" s="20"/>
      <c r="T30" s="83"/>
      <c r="U30" s="20"/>
      <c r="V30" s="21"/>
      <c r="W30" s="22" t="s">
        <v>18</v>
      </c>
      <c r="X30" s="23"/>
      <c r="Y30" s="23"/>
      <c r="Z30" s="23"/>
      <c r="AA30" s="24"/>
      <c r="AB30" s="22" t="s">
        <v>19</v>
      </c>
      <c r="AC30" s="23"/>
      <c r="AD30" s="23"/>
      <c r="AE30" s="23"/>
      <c r="AF30" s="24"/>
    </row>
    <row x14ac:dyDescent="0.25" r="31" customHeight="1" ht="16.5">
      <c r="A31" s="25" t="s">
        <v>20</v>
      </c>
      <c r="B31" s="26" t="s">
        <v>21</v>
      </c>
      <c r="C31" s="27" t="s">
        <v>22</v>
      </c>
      <c r="D31" s="27" t="s">
        <v>23</v>
      </c>
      <c r="E31" s="27" t="s">
        <v>24</v>
      </c>
      <c r="F31" s="194" t="s">
        <v>25</v>
      </c>
      <c r="G31" s="29" t="s">
        <v>28</v>
      </c>
      <c r="H31" s="30" t="s">
        <v>27</v>
      </c>
      <c r="I31" s="86" t="s">
        <v>21</v>
      </c>
      <c r="J31" s="87" t="s">
        <v>22</v>
      </c>
      <c r="K31" s="87" t="s">
        <v>23</v>
      </c>
      <c r="L31" s="87" t="s">
        <v>24</v>
      </c>
      <c r="M31" s="202" t="s">
        <v>25</v>
      </c>
      <c r="N31" s="88" t="s">
        <v>28</v>
      </c>
      <c r="O31" s="99" t="s">
        <v>27</v>
      </c>
      <c r="P31" s="32" t="s">
        <v>21</v>
      </c>
      <c r="Q31" s="32" t="s">
        <v>22</v>
      </c>
      <c r="R31" s="32" t="s">
        <v>23</v>
      </c>
      <c r="S31" s="32" t="s">
        <v>24</v>
      </c>
      <c r="T31" s="30" t="s">
        <v>25</v>
      </c>
      <c r="U31" s="34" t="s">
        <v>28</v>
      </c>
      <c r="V31" s="30" t="s">
        <v>27</v>
      </c>
      <c r="W31" s="35" t="s">
        <v>21</v>
      </c>
      <c r="X31" s="36" t="s">
        <v>22</v>
      </c>
      <c r="Y31" s="36" t="s">
        <v>23</v>
      </c>
      <c r="Z31" s="36" t="s">
        <v>24</v>
      </c>
      <c r="AA31" s="37" t="s">
        <v>28</v>
      </c>
      <c r="AB31" s="35" t="s">
        <v>21</v>
      </c>
      <c r="AC31" s="36" t="s">
        <v>22</v>
      </c>
      <c r="AD31" s="36" t="s">
        <v>23</v>
      </c>
      <c r="AE31" s="36" t="s">
        <v>24</v>
      </c>
      <c r="AF31" s="37" t="s">
        <v>28</v>
      </c>
    </row>
    <row x14ac:dyDescent="0.25" r="32" customHeight="1" ht="77">
      <c r="A32" s="56" t="s">
        <v>54</v>
      </c>
      <c r="B32" s="100">
        <v>0</v>
      </c>
      <c r="C32" s="41">
        <v>5</v>
      </c>
      <c r="D32" s="41">
        <v>0</v>
      </c>
      <c r="E32" s="41">
        <v>1</v>
      </c>
      <c r="F32" s="205"/>
      <c r="G32" s="43">
        <v>3</v>
      </c>
      <c r="H32" s="102" t="s">
        <v>148</v>
      </c>
      <c r="I32" s="39">
        <v>0</v>
      </c>
      <c r="J32" s="40">
        <v>5</v>
      </c>
      <c r="K32" s="40">
        <v>0</v>
      </c>
      <c r="L32" s="40">
        <v>1</v>
      </c>
      <c r="M32" s="195"/>
      <c r="N32" s="42">
        <v>4</v>
      </c>
      <c r="O32" s="56" t="s">
        <v>149</v>
      </c>
      <c r="P32" s="57">
        <v>0</v>
      </c>
      <c r="Q32" s="40">
        <v>4</v>
      </c>
      <c r="R32" s="40">
        <v>0</v>
      </c>
      <c r="S32" s="40">
        <v>1</v>
      </c>
      <c r="T32" s="195"/>
      <c r="U32" s="55">
        <v>2</v>
      </c>
      <c r="V32" s="196" t="s">
        <v>136</v>
      </c>
      <c r="W32" s="51">
        <f>AVERAGE(B32,I32,P32)</f>
      </c>
      <c r="X32" s="51">
        <f>AVERAGE(C32,J32,Q32)</f>
      </c>
      <c r="Y32" s="51">
        <f>AVERAGE(D32,K32,R32)</f>
      </c>
      <c r="Z32" s="51">
        <f>AVERAGE(E32,L32,S32)</f>
      </c>
      <c r="AA32" s="51">
        <f>AVERAGE(G32,N32,U32)</f>
      </c>
      <c r="AB32" s="53">
        <f>STDEV(B32,I32,P32)</f>
      </c>
      <c r="AC32" s="53">
        <f>STDEV(C32,J32,Q32)</f>
      </c>
      <c r="AD32" s="53">
        <f>STDEV(D32,K32,R32)</f>
      </c>
      <c r="AE32" s="53">
        <f>STDEV(E32,L32,S32)</f>
      </c>
      <c r="AF32" s="53">
        <f>STDEV(G32,N32,U32)</f>
      </c>
    </row>
    <row x14ac:dyDescent="0.25" r="33" customHeight="1" ht="77">
      <c r="A33" s="56" t="s">
        <v>57</v>
      </c>
      <c r="B33" s="100">
        <v>0</v>
      </c>
      <c r="C33" s="41">
        <v>8</v>
      </c>
      <c r="D33" s="41">
        <v>0</v>
      </c>
      <c r="E33" s="41">
        <v>1</v>
      </c>
      <c r="F33" s="205"/>
      <c r="G33" s="43">
        <v>4</v>
      </c>
      <c r="H33" s="102" t="s">
        <v>137</v>
      </c>
      <c r="I33" s="103">
        <v>0</v>
      </c>
      <c r="J33" s="46">
        <v>4</v>
      </c>
      <c r="K33" s="46">
        <v>0</v>
      </c>
      <c r="L33" s="46">
        <v>1</v>
      </c>
      <c r="M33" s="206"/>
      <c r="N33" s="47">
        <v>2</v>
      </c>
      <c r="O33" s="95" t="s">
        <v>150</v>
      </c>
      <c r="P33" s="57">
        <v>0</v>
      </c>
      <c r="Q33" s="40">
        <v>5</v>
      </c>
      <c r="R33" s="40">
        <v>0</v>
      </c>
      <c r="S33" s="40">
        <v>1</v>
      </c>
      <c r="T33" s="195"/>
      <c r="U33" s="55">
        <v>3</v>
      </c>
      <c r="V33" s="196" t="s">
        <v>151</v>
      </c>
      <c r="W33" s="51">
        <f>AVERAGE(B33,I33,P33)</f>
      </c>
      <c r="X33" s="51">
        <f>AVERAGE(C33,J33,Q33)</f>
      </c>
      <c r="Y33" s="51">
        <f>AVERAGE(D33,K33,R33)</f>
      </c>
      <c r="Z33" s="51">
        <f>AVERAGE(E33,L33,S33)</f>
      </c>
      <c r="AA33" s="51">
        <f>AVERAGE(G33,N33,U33)</f>
      </c>
      <c r="AB33" s="53">
        <f>STDEV(B33,I33,P33)</f>
      </c>
      <c r="AC33" s="53">
        <f>STDEV(C33,J33,Q33)</f>
      </c>
      <c r="AD33" s="53">
        <f>STDEV(D33,K33,R33)</f>
      </c>
      <c r="AE33" s="53">
        <f>STDEV(E33,L33,S33)</f>
      </c>
      <c r="AF33" s="53">
        <f>STDEV(G33,N33,U33)</f>
      </c>
    </row>
    <row x14ac:dyDescent="0.25" r="34" customHeight="1" ht="106">
      <c r="A34" s="56" t="s">
        <v>60</v>
      </c>
      <c r="B34" s="100">
        <v>0</v>
      </c>
      <c r="C34" s="41">
        <v>3</v>
      </c>
      <c r="D34" s="41">
        <v>0</v>
      </c>
      <c r="E34" s="41">
        <v>1</v>
      </c>
      <c r="F34" s="205"/>
      <c r="G34" s="43">
        <v>1</v>
      </c>
      <c r="H34" s="102" t="s">
        <v>152</v>
      </c>
      <c r="I34" s="103">
        <v>0</v>
      </c>
      <c r="J34" s="46">
        <v>2</v>
      </c>
      <c r="K34" s="46">
        <v>0</v>
      </c>
      <c r="L34" s="46">
        <v>1</v>
      </c>
      <c r="M34" s="206"/>
      <c r="N34" s="47">
        <v>0</v>
      </c>
      <c r="O34" s="95"/>
      <c r="P34" s="57">
        <v>0</v>
      </c>
      <c r="Q34" s="40">
        <v>3</v>
      </c>
      <c r="R34" s="40">
        <v>0</v>
      </c>
      <c r="S34" s="40">
        <v>1</v>
      </c>
      <c r="T34" s="195"/>
      <c r="U34" s="55">
        <v>1</v>
      </c>
      <c r="V34" s="196" t="s">
        <v>153</v>
      </c>
      <c r="W34" s="51">
        <f>AVERAGE(B34,I34,P34)</f>
      </c>
      <c r="X34" s="51">
        <f>AVERAGE(C34,J34,Q34)</f>
      </c>
      <c r="Y34" s="51">
        <f>AVERAGE(D34,K34,R34)</f>
      </c>
      <c r="Z34" s="51">
        <f>AVERAGE(E34,L34,S34)</f>
      </c>
      <c r="AA34" s="51">
        <f>AVERAGE(G34,N34,U34)</f>
      </c>
      <c r="AB34" s="53">
        <f>STDEV(B34,I34,P34)</f>
      </c>
      <c r="AC34" s="53">
        <f>STDEV(C34,J34,Q34)</f>
      </c>
      <c r="AD34" s="53">
        <f>STDEV(D34,K34,R34)</f>
      </c>
      <c r="AE34" s="53">
        <f>STDEV(E34,L34,S34)</f>
      </c>
      <c r="AF34" s="54">
        <f>STDEV(G34,N34,U34)</f>
      </c>
    </row>
    <row x14ac:dyDescent="0.25" r="35" customHeight="1" ht="128">
      <c r="A35" s="56" t="s">
        <v>62</v>
      </c>
      <c r="B35" s="107">
        <v>0</v>
      </c>
      <c r="C35" s="108">
        <v>4</v>
      </c>
      <c r="D35" s="108">
        <v>0</v>
      </c>
      <c r="E35" s="108">
        <v>1</v>
      </c>
      <c r="F35" s="207"/>
      <c r="G35" s="110">
        <v>4</v>
      </c>
      <c r="H35" s="111" t="s">
        <v>154</v>
      </c>
      <c r="I35" s="65">
        <v>0</v>
      </c>
      <c r="J35" s="66">
        <v>4</v>
      </c>
      <c r="K35" s="66">
        <v>0</v>
      </c>
      <c r="L35" s="66">
        <v>1</v>
      </c>
      <c r="M35" s="199"/>
      <c r="N35" s="67">
        <v>5</v>
      </c>
      <c r="O35" s="69" t="s">
        <v>155</v>
      </c>
      <c r="P35" s="97">
        <v>0</v>
      </c>
      <c r="Q35" s="66">
        <v>5</v>
      </c>
      <c r="R35" s="66">
        <v>0</v>
      </c>
      <c r="S35" s="66">
        <v>1</v>
      </c>
      <c r="T35" s="199"/>
      <c r="U35" s="68">
        <v>3</v>
      </c>
      <c r="V35" s="111" t="s">
        <v>151</v>
      </c>
      <c r="W35" s="78">
        <f>AVERAGE(B35,I35,P35)</f>
      </c>
      <c r="X35" s="78">
        <f>AVERAGE(C35,J35,Q35)</f>
      </c>
      <c r="Y35" s="78">
        <f>AVERAGE(D35,K35,R35)</f>
      </c>
      <c r="Z35" s="78">
        <f>AVERAGE(E35,L35,S35)</f>
      </c>
      <c r="AA35" s="78">
        <f>AVERAGE(G35,N35,U35)</f>
      </c>
      <c r="AB35" s="80">
        <f>STDEV(B35,I35,P35)</f>
      </c>
      <c r="AC35" s="80">
        <f>STDEV(C35,J35,Q35)</f>
      </c>
      <c r="AD35" s="80">
        <f>STDEV(D35,K35,R35)</f>
      </c>
      <c r="AE35" s="80">
        <f>STDEV(E35,L35,S35)</f>
      </c>
      <c r="AF35" s="81">
        <f>STDEV(G35,N35,U35)</f>
      </c>
    </row>
    <row x14ac:dyDescent="0.25" r="36" customHeight="1" ht="16.5">
      <c r="A36" s="12"/>
      <c r="B36" s="11"/>
      <c r="C36" s="11"/>
      <c r="D36" s="11"/>
      <c r="E36" s="11"/>
      <c r="F36" s="12"/>
      <c r="G36" s="11"/>
      <c r="H36" s="12"/>
      <c r="I36" s="13"/>
      <c r="J36" s="13"/>
      <c r="K36" s="13"/>
      <c r="L36" s="13"/>
      <c r="M36" s="14"/>
      <c r="N36" s="13"/>
      <c r="O36" s="14"/>
      <c r="P36" s="13"/>
      <c r="Q36" s="13"/>
      <c r="R36" s="13"/>
      <c r="S36" s="13"/>
      <c r="T36" s="14"/>
      <c r="U36" s="13"/>
      <c r="V36" s="14"/>
      <c r="W36" s="15"/>
      <c r="X36" s="15"/>
      <c r="Y36" s="15"/>
      <c r="Z36" s="15"/>
      <c r="AA36" s="15"/>
      <c r="AB36" s="15"/>
      <c r="AC36" s="15"/>
      <c r="AD36" s="15"/>
      <c r="AE36" s="15"/>
      <c r="AF36" s="15"/>
    </row>
    <row x14ac:dyDescent="0.25" r="37" customHeight="1" ht="16.5">
      <c r="A37" s="12"/>
      <c r="B37" s="11"/>
      <c r="C37" s="11"/>
      <c r="D37" s="11"/>
      <c r="E37" s="11"/>
      <c r="F37" s="12"/>
      <c r="G37" s="11"/>
      <c r="H37" s="12"/>
      <c r="I37" s="13"/>
      <c r="J37" s="13"/>
      <c r="K37" s="13"/>
      <c r="L37" s="13"/>
      <c r="M37" s="14"/>
      <c r="N37" s="13"/>
      <c r="O37" s="14"/>
      <c r="P37" s="13"/>
      <c r="Q37" s="13"/>
      <c r="R37" s="13"/>
      <c r="S37" s="13"/>
      <c r="T37" s="14"/>
      <c r="U37" s="13"/>
      <c r="V37" s="14"/>
      <c r="W37" s="15"/>
      <c r="X37" s="15"/>
      <c r="Y37" s="15"/>
      <c r="Z37" s="15"/>
      <c r="AA37" s="15"/>
      <c r="AB37" s="15"/>
      <c r="AC37" s="15"/>
      <c r="AD37" s="15"/>
      <c r="AE37" s="15"/>
      <c r="AF37" s="15"/>
    </row>
    <row x14ac:dyDescent="0.25" r="38" customHeight="1" ht="16.5">
      <c r="A38" s="12"/>
      <c r="B38" s="11"/>
      <c r="C38" s="11"/>
      <c r="D38" s="11"/>
      <c r="E38" s="11"/>
      <c r="F38" s="12"/>
      <c r="G38" s="11"/>
      <c r="H38" s="12"/>
      <c r="I38" s="13"/>
      <c r="J38" s="13"/>
      <c r="K38" s="13"/>
      <c r="L38" s="13"/>
      <c r="M38" s="14"/>
      <c r="N38" s="13"/>
      <c r="O38" s="14"/>
      <c r="P38" s="13"/>
      <c r="Q38" s="13"/>
      <c r="R38" s="13"/>
      <c r="S38" s="13"/>
      <c r="T38" s="14"/>
      <c r="U38" s="13"/>
      <c r="V38" s="14"/>
      <c r="W38" s="15"/>
      <c r="X38" s="15"/>
      <c r="Y38" s="15"/>
      <c r="Z38" s="15"/>
      <c r="AA38" s="15"/>
      <c r="AB38" s="15"/>
      <c r="AC38" s="15"/>
      <c r="AD38" s="15"/>
      <c r="AE38" s="15"/>
      <c r="AF38" s="15"/>
    </row>
    <row x14ac:dyDescent="0.25" r="39" customHeight="1" ht="16.5">
      <c r="A39" s="12"/>
      <c r="B39" s="11"/>
      <c r="C39" s="11"/>
      <c r="D39" s="11"/>
      <c r="E39" s="11"/>
      <c r="F39" s="12"/>
      <c r="G39" s="11"/>
      <c r="H39" s="12"/>
      <c r="I39" s="13"/>
      <c r="J39" s="13"/>
      <c r="K39" s="13"/>
      <c r="L39" s="13"/>
      <c r="M39" s="14"/>
      <c r="N39" s="13"/>
      <c r="O39" s="14"/>
      <c r="P39" s="13"/>
      <c r="Q39" s="13"/>
      <c r="R39" s="13"/>
      <c r="S39" s="13"/>
      <c r="T39" s="14"/>
      <c r="U39" s="13"/>
      <c r="V39" s="14"/>
      <c r="W39" s="15"/>
      <c r="X39" s="15"/>
      <c r="Y39" s="15"/>
      <c r="Z39" s="15"/>
      <c r="AA39" s="15"/>
      <c r="AB39" s="15"/>
      <c r="AC39" s="15"/>
      <c r="AD39" s="15"/>
      <c r="AE39" s="15"/>
      <c r="AF39" s="15"/>
    </row>
    <row x14ac:dyDescent="0.25" r="40" customHeight="1" ht="16.5">
      <c r="A40" s="12"/>
      <c r="B40" s="11"/>
      <c r="C40" s="11"/>
      <c r="D40" s="11"/>
      <c r="E40" s="11"/>
      <c r="F40" s="12"/>
      <c r="G40" s="11"/>
      <c r="H40" s="12"/>
      <c r="I40" s="13"/>
      <c r="J40" s="13"/>
      <c r="K40" s="13"/>
      <c r="L40" s="13"/>
      <c r="M40" s="14"/>
      <c r="N40" s="13"/>
      <c r="O40" s="14"/>
      <c r="P40" s="13"/>
      <c r="Q40" s="13"/>
      <c r="R40" s="13"/>
      <c r="S40" s="13"/>
      <c r="T40" s="14"/>
      <c r="U40" s="13"/>
      <c r="V40" s="14"/>
      <c r="W40" s="15"/>
      <c r="X40" s="15"/>
      <c r="Y40" s="15"/>
      <c r="Z40" s="15"/>
      <c r="AA40" s="15"/>
      <c r="AB40" s="15"/>
      <c r="AC40" s="15"/>
      <c r="AD40" s="15"/>
      <c r="AE40" s="15"/>
      <c r="AF40" s="15"/>
    </row>
    <row x14ac:dyDescent="0.25" r="41" customHeight="1" ht="16.5">
      <c r="A41" s="12"/>
      <c r="B41" s="11"/>
      <c r="C41" s="11"/>
      <c r="D41" s="11"/>
      <c r="E41" s="11"/>
      <c r="F41" s="12"/>
      <c r="G41" s="11"/>
      <c r="H41" s="12"/>
      <c r="I41" s="13"/>
      <c r="J41" s="13"/>
      <c r="K41" s="13"/>
      <c r="L41" s="13"/>
      <c r="M41" s="14"/>
      <c r="N41" s="13"/>
      <c r="O41" s="14"/>
      <c r="P41" s="13"/>
      <c r="Q41" s="13"/>
      <c r="R41" s="13"/>
      <c r="S41" s="13"/>
      <c r="T41" s="14"/>
      <c r="U41" s="13"/>
      <c r="V41" s="14"/>
      <c r="W41" s="15"/>
      <c r="X41" s="15"/>
      <c r="Y41" s="15"/>
      <c r="Z41" s="15"/>
      <c r="AA41" s="15"/>
      <c r="AB41" s="15"/>
      <c r="AC41" s="15"/>
      <c r="AD41" s="15"/>
      <c r="AE41" s="15"/>
      <c r="AF41" s="15"/>
    </row>
    <row x14ac:dyDescent="0.25" r="42" customHeight="1" ht="16.5">
      <c r="A42" s="16" t="s">
        <v>156</v>
      </c>
      <c r="B42" s="17"/>
      <c r="C42" s="17"/>
      <c r="D42" s="17"/>
      <c r="E42" s="17"/>
      <c r="F42" s="16"/>
      <c r="G42" s="17"/>
      <c r="H42" s="16"/>
      <c r="I42" s="17"/>
      <c r="J42" s="17"/>
      <c r="K42" s="17"/>
      <c r="L42" s="17"/>
      <c r="M42" s="16"/>
      <c r="N42" s="17"/>
      <c r="O42" s="16"/>
      <c r="P42" s="17"/>
      <c r="Q42" s="17"/>
      <c r="R42" s="17"/>
      <c r="S42" s="17"/>
      <c r="T42" s="16"/>
      <c r="U42" s="17"/>
      <c r="V42" s="16"/>
      <c r="W42" s="18"/>
      <c r="X42" s="18"/>
      <c r="Y42" s="18"/>
      <c r="Z42" s="18"/>
      <c r="AA42" s="18"/>
      <c r="AB42" s="18"/>
      <c r="AC42" s="18"/>
      <c r="AD42" s="18"/>
      <c r="AE42" s="18"/>
      <c r="AF42" s="18"/>
    </row>
    <row x14ac:dyDescent="0.25" r="43" customHeight="1" ht="16.5">
      <c r="A43" s="12"/>
      <c r="B43" s="11"/>
      <c r="C43" s="11"/>
      <c r="D43" s="11"/>
      <c r="E43" s="11"/>
      <c r="F43" s="12"/>
      <c r="G43" s="11"/>
      <c r="H43" s="12"/>
      <c r="I43" s="13"/>
      <c r="J43" s="13"/>
      <c r="K43" s="13"/>
      <c r="L43" s="13"/>
      <c r="M43" s="14"/>
      <c r="N43" s="13"/>
      <c r="O43" s="14"/>
      <c r="P43" s="13"/>
      <c r="Q43" s="13"/>
      <c r="R43" s="13"/>
      <c r="S43" s="13"/>
      <c r="T43" s="14"/>
      <c r="U43" s="13"/>
      <c r="V43" s="14"/>
      <c r="W43" s="15"/>
      <c r="X43" s="15"/>
      <c r="Y43" s="15"/>
      <c r="Z43" s="15"/>
      <c r="AA43" s="15"/>
      <c r="AB43" s="15"/>
      <c r="AC43" s="15"/>
      <c r="AD43" s="15"/>
      <c r="AE43" s="15"/>
      <c r="AF43" s="15"/>
    </row>
    <row x14ac:dyDescent="0.25" r="44" customHeight="1" ht="16.5">
      <c r="A44" s="12"/>
      <c r="B44" s="19" t="s">
        <v>15</v>
      </c>
      <c r="C44" s="20"/>
      <c r="D44" s="20"/>
      <c r="E44" s="20"/>
      <c r="F44" s="83"/>
      <c r="G44" s="20"/>
      <c r="H44" s="21"/>
      <c r="I44" s="19" t="s">
        <v>16</v>
      </c>
      <c r="J44" s="20"/>
      <c r="K44" s="20"/>
      <c r="L44" s="20"/>
      <c r="M44" s="83"/>
      <c r="N44" s="20"/>
      <c r="O44" s="21"/>
      <c r="P44" s="19" t="s">
        <v>17</v>
      </c>
      <c r="Q44" s="20"/>
      <c r="R44" s="20"/>
      <c r="S44" s="20"/>
      <c r="T44" s="83"/>
      <c r="U44" s="20"/>
      <c r="V44" s="21"/>
      <c r="W44" s="22" t="s">
        <v>18</v>
      </c>
      <c r="X44" s="23"/>
      <c r="Y44" s="23"/>
      <c r="Z44" s="23"/>
      <c r="AA44" s="24"/>
      <c r="AB44" s="22" t="s">
        <v>19</v>
      </c>
      <c r="AC44" s="23"/>
      <c r="AD44" s="23"/>
      <c r="AE44" s="23"/>
      <c r="AF44" s="24"/>
    </row>
    <row x14ac:dyDescent="0.25" r="45" customHeight="1" ht="16.5">
      <c r="A45" s="112" t="s">
        <v>20</v>
      </c>
      <c r="B45" s="113" t="s">
        <v>21</v>
      </c>
      <c r="C45" s="114" t="s">
        <v>22</v>
      </c>
      <c r="D45" s="114" t="s">
        <v>23</v>
      </c>
      <c r="E45" s="114" t="s">
        <v>24</v>
      </c>
      <c r="F45" s="208" t="s">
        <v>25</v>
      </c>
      <c r="G45" s="116" t="s">
        <v>26</v>
      </c>
      <c r="H45" s="117" t="s">
        <v>27</v>
      </c>
      <c r="I45" s="113" t="s">
        <v>21</v>
      </c>
      <c r="J45" s="114" t="s">
        <v>22</v>
      </c>
      <c r="K45" s="114" t="s">
        <v>23</v>
      </c>
      <c r="L45" s="114" t="s">
        <v>24</v>
      </c>
      <c r="M45" s="208" t="s">
        <v>25</v>
      </c>
      <c r="N45" s="116" t="s">
        <v>26</v>
      </c>
      <c r="O45" s="118" t="s">
        <v>27</v>
      </c>
      <c r="P45" s="113" t="s">
        <v>21</v>
      </c>
      <c r="Q45" s="119" t="s">
        <v>22</v>
      </c>
      <c r="R45" s="119" t="s">
        <v>23</v>
      </c>
      <c r="S45" s="119" t="s">
        <v>24</v>
      </c>
      <c r="T45" s="117" t="s">
        <v>25</v>
      </c>
      <c r="U45" s="121" t="s">
        <v>26</v>
      </c>
      <c r="V45" s="117" t="s">
        <v>27</v>
      </c>
      <c r="W45" s="122" t="s">
        <v>21</v>
      </c>
      <c r="X45" s="123" t="s">
        <v>22</v>
      </c>
      <c r="Y45" s="123" t="s">
        <v>23</v>
      </c>
      <c r="Z45" s="123" t="s">
        <v>24</v>
      </c>
      <c r="AA45" s="124" t="s">
        <v>28</v>
      </c>
      <c r="AB45" s="122" t="s">
        <v>21</v>
      </c>
      <c r="AC45" s="123" t="s">
        <v>22</v>
      </c>
      <c r="AD45" s="123" t="s">
        <v>23</v>
      </c>
      <c r="AE45" s="123" t="s">
        <v>24</v>
      </c>
      <c r="AF45" s="124" t="s">
        <v>28</v>
      </c>
    </row>
    <row x14ac:dyDescent="0.25" r="46" customHeight="1" ht="16.5">
      <c r="A46" s="49" t="s">
        <v>67</v>
      </c>
      <c r="B46" s="103">
        <v>0</v>
      </c>
      <c r="C46" s="46">
        <v>2</v>
      </c>
      <c r="D46" s="46">
        <v>0</v>
      </c>
      <c r="E46" s="46">
        <v>1</v>
      </c>
      <c r="F46" s="206"/>
      <c r="G46" s="48">
        <v>0</v>
      </c>
      <c r="H46" s="104"/>
      <c r="I46" s="103">
        <v>1</v>
      </c>
      <c r="J46" s="46">
        <v>2</v>
      </c>
      <c r="K46" s="46">
        <v>0</v>
      </c>
      <c r="L46" s="46">
        <v>1</v>
      </c>
      <c r="M46" s="206"/>
      <c r="N46" s="48">
        <v>1</v>
      </c>
      <c r="O46" s="104" t="s">
        <v>157</v>
      </c>
      <c r="P46" s="103">
        <v>0</v>
      </c>
      <c r="Q46" s="46">
        <v>4</v>
      </c>
      <c r="R46" s="46">
        <v>0</v>
      </c>
      <c r="S46" s="46">
        <v>1</v>
      </c>
      <c r="T46" s="206"/>
      <c r="U46" s="48">
        <v>0</v>
      </c>
      <c r="V46" s="209"/>
      <c r="W46" s="129">
        <f>AVERAGE(B46,I46,P46)</f>
      </c>
      <c r="X46" s="129">
        <f>AVERAGE(C46,J46,Q46)</f>
      </c>
      <c r="Y46" s="129">
        <f>AVERAGE(D46,K46,R46)</f>
      </c>
      <c r="Z46" s="129">
        <f>AVERAGE(E46,L46,S46)</f>
      </c>
      <c r="AA46" s="130">
        <f>AVERAGE(G46,N46,U46)</f>
      </c>
      <c r="AB46" s="53">
        <f>STDEV(B46,I46,P46)</f>
      </c>
      <c r="AC46" s="53">
        <f>STDEV(C46,J46,Q46)</f>
      </c>
      <c r="AD46" s="53">
        <f>STDEV(D46,K46,R46)</f>
      </c>
      <c r="AE46" s="53">
        <f>STDEV(E46,L46,S46)</f>
      </c>
      <c r="AF46" s="54">
        <f>STDEV(G46,N46,U46)</f>
      </c>
    </row>
    <row x14ac:dyDescent="0.25" r="47" customHeight="1" ht="16.5">
      <c r="A47" s="131" t="s">
        <v>158</v>
      </c>
      <c r="B47" s="39">
        <v>1</v>
      </c>
      <c r="C47" s="40">
        <v>2</v>
      </c>
      <c r="D47" s="132">
        <v>0</v>
      </c>
      <c r="E47" s="40">
        <v>0</v>
      </c>
      <c r="F47" s="195"/>
      <c r="G47" s="55">
        <v>0</v>
      </c>
      <c r="H47" s="102" t="s">
        <v>159</v>
      </c>
      <c r="I47" s="39">
        <v>0</v>
      </c>
      <c r="J47" s="40">
        <v>2</v>
      </c>
      <c r="K47" s="40">
        <v>0</v>
      </c>
      <c r="L47" s="40">
        <v>1</v>
      </c>
      <c r="M47" s="195"/>
      <c r="N47" s="55">
        <v>0</v>
      </c>
      <c r="O47" s="102"/>
      <c r="P47" s="39">
        <v>0</v>
      </c>
      <c r="Q47" s="40">
        <v>3</v>
      </c>
      <c r="R47" s="40">
        <v>0</v>
      </c>
      <c r="S47" s="40">
        <v>1</v>
      </c>
      <c r="T47" s="195"/>
      <c r="U47" s="55">
        <v>0</v>
      </c>
      <c r="V47" s="196"/>
      <c r="W47" s="129">
        <f>AVERAGE(B47,I47,P47)</f>
      </c>
      <c r="X47" s="129">
        <f>AVERAGE(C47,J47,Q47)</f>
      </c>
      <c r="Y47" s="129">
        <f>AVERAGE(D47,K47,R47)</f>
      </c>
      <c r="Z47" s="129">
        <f>AVERAGE(E47,L47,S47)</f>
      </c>
      <c r="AA47" s="130">
        <f>AVERAGE(G47,N47,U47)</f>
      </c>
      <c r="AB47" s="53">
        <f>STDEV(B47,I47,P47)</f>
      </c>
      <c r="AC47" s="53">
        <f>STDEV(C47,J47,Q47)</f>
      </c>
      <c r="AD47" s="53">
        <f>STDEV(D47,K47,R47)</f>
      </c>
      <c r="AE47" s="53">
        <f>STDEV(E47,L47,S47)</f>
      </c>
      <c r="AF47" s="54">
        <f>STDEV(G47,N47,U47)</f>
      </c>
    </row>
    <row x14ac:dyDescent="0.25" r="48" customHeight="1" ht="16.5">
      <c r="A48" s="135" t="s">
        <v>160</v>
      </c>
      <c r="B48" s="39">
        <v>4</v>
      </c>
      <c r="C48" s="40">
        <v>4</v>
      </c>
      <c r="D48" s="40">
        <v>0</v>
      </c>
      <c r="E48" s="40">
        <v>1</v>
      </c>
      <c r="F48" s="195"/>
      <c r="G48" s="55">
        <v>0</v>
      </c>
      <c r="H48" s="102" t="s">
        <v>161</v>
      </c>
      <c r="I48" s="39">
        <v>4</v>
      </c>
      <c r="J48" s="40">
        <v>4</v>
      </c>
      <c r="K48" s="40">
        <v>0</v>
      </c>
      <c r="L48" s="40">
        <v>1</v>
      </c>
      <c r="M48" s="195"/>
      <c r="N48" s="55">
        <v>0</v>
      </c>
      <c r="O48" s="102" t="s">
        <v>161</v>
      </c>
      <c r="P48" s="136">
        <v>3</v>
      </c>
      <c r="Q48" s="137">
        <v>5</v>
      </c>
      <c r="R48" s="137">
        <v>0</v>
      </c>
      <c r="S48" s="137">
        <v>1</v>
      </c>
      <c r="T48" s="210"/>
      <c r="U48" s="139">
        <v>0</v>
      </c>
      <c r="V48" s="105" t="s">
        <v>162</v>
      </c>
      <c r="W48" s="129">
        <f>AVERAGE(B48,I48,P48)</f>
      </c>
      <c r="X48" s="129">
        <f>AVERAGE(C48,J48,Q48)</f>
      </c>
      <c r="Y48" s="129">
        <f>AVERAGE(D48,K48,R48)</f>
      </c>
      <c r="Z48" s="129">
        <f>AVERAGE(E48,L48,S48)</f>
      </c>
      <c r="AA48" s="130">
        <f>AVERAGE(G48,N48,U48)</f>
      </c>
      <c r="AB48" s="53">
        <f>STDEV(B48,I48,P48)</f>
      </c>
      <c r="AC48" s="53">
        <f>STDEV(C48,J48,Q48)</f>
      </c>
      <c r="AD48" s="53">
        <f>STDEV(D48,K48,R48)</f>
      </c>
      <c r="AE48" s="53">
        <f>STDEV(E48,L48,S48)</f>
      </c>
      <c r="AF48" s="54">
        <f>STDEV(G48,N48,U48)</f>
      </c>
    </row>
    <row x14ac:dyDescent="0.25" r="49" customHeight="1" ht="16.5">
      <c r="A49" s="131" t="s">
        <v>163</v>
      </c>
      <c r="B49" s="65">
        <v>0</v>
      </c>
      <c r="C49" s="66">
        <f>7</f>
      </c>
      <c r="D49" s="66">
        <v>0</v>
      </c>
      <c r="E49" s="66">
        <v>1</v>
      </c>
      <c r="F49" s="199"/>
      <c r="G49" s="68">
        <v>3</v>
      </c>
      <c r="H49" s="111" t="s">
        <v>164</v>
      </c>
      <c r="I49" s="65">
        <v>2</v>
      </c>
      <c r="J49" s="66">
        <v>2</v>
      </c>
      <c r="K49" s="66">
        <v>0</v>
      </c>
      <c r="L49" s="66">
        <v>0</v>
      </c>
      <c r="M49" s="199"/>
      <c r="N49" s="68">
        <v>2</v>
      </c>
      <c r="O49" s="111" t="s">
        <v>165</v>
      </c>
      <c r="P49" s="65">
        <v>3</v>
      </c>
      <c r="Q49" s="66">
        <v>3</v>
      </c>
      <c r="R49" s="66">
        <v>0</v>
      </c>
      <c r="S49" s="66">
        <v>0</v>
      </c>
      <c r="T49" s="199"/>
      <c r="U49" s="68">
        <v>1</v>
      </c>
      <c r="V49" s="111" t="s">
        <v>166</v>
      </c>
      <c r="W49" s="78">
        <f>AVERAGE(B49,I49,P49)</f>
      </c>
      <c r="X49" s="78">
        <f>AVERAGE(C49,J49,Q49)</f>
      </c>
      <c r="Y49" s="78">
        <f>AVERAGE(D49,K49,R49)</f>
      </c>
      <c r="Z49" s="78">
        <f>AVERAGE(E49,L49,S49)</f>
      </c>
      <c r="AA49" s="79">
        <f>AVERAGE(G49,N49,U49)</f>
      </c>
      <c r="AB49" s="80">
        <f>STDEV(B49,I49,P49)</f>
      </c>
      <c r="AC49" s="80">
        <f>STDEV(C49,J49,Q49)</f>
      </c>
      <c r="AD49" s="80">
        <f>STDEV(D49,K49,R49)</f>
      </c>
      <c r="AE49" s="80">
        <f>STDEV(E49,L49,S49)</f>
      </c>
      <c r="AF49" s="81">
        <f>STDEV(G49,N49,U49)</f>
      </c>
    </row>
    <row x14ac:dyDescent="0.25" r="50" customHeight="1" ht="16.5">
      <c r="A50" s="12"/>
      <c r="B50" s="11"/>
      <c r="C50" s="11"/>
      <c r="D50" s="11"/>
      <c r="E50" s="11"/>
      <c r="F50" s="12"/>
      <c r="G50" s="11"/>
      <c r="H50" s="12"/>
      <c r="I50" s="13"/>
      <c r="J50" s="13"/>
      <c r="K50" s="13"/>
      <c r="L50" s="13"/>
      <c r="M50" s="14"/>
      <c r="N50" s="13"/>
      <c r="O50" s="14"/>
      <c r="P50" s="13"/>
      <c r="Q50" s="13"/>
      <c r="R50" s="13"/>
      <c r="S50" s="13"/>
      <c r="T50" s="14"/>
      <c r="U50" s="13"/>
      <c r="V50" s="14"/>
      <c r="W50" s="15"/>
      <c r="X50" s="15"/>
      <c r="Y50" s="15"/>
      <c r="Z50" s="15"/>
      <c r="AA50" s="15"/>
      <c r="AB50" s="82"/>
      <c r="AC50" s="15"/>
      <c r="AD50" s="15"/>
      <c r="AE50" s="15"/>
      <c r="AF50" s="15"/>
    </row>
    <row x14ac:dyDescent="0.25" r="51" customHeight="1" ht="16.5">
      <c r="A51" s="12"/>
      <c r="B51" s="11"/>
      <c r="C51" s="11"/>
      <c r="D51" s="11"/>
      <c r="E51" s="11"/>
      <c r="F51" s="12"/>
      <c r="G51" s="11"/>
      <c r="H51" s="12"/>
      <c r="I51" s="13"/>
      <c r="J51" s="13"/>
      <c r="K51" s="13"/>
      <c r="L51" s="13"/>
      <c r="M51" s="14"/>
      <c r="N51" s="13"/>
      <c r="O51" s="14"/>
      <c r="P51" s="13"/>
      <c r="Q51" s="13"/>
      <c r="R51" s="13"/>
      <c r="S51" s="13"/>
      <c r="T51" s="14"/>
      <c r="U51" s="13"/>
      <c r="V51" s="14"/>
      <c r="W51" s="15"/>
      <c r="X51" s="15"/>
      <c r="Y51" s="15"/>
      <c r="Z51" s="15"/>
      <c r="AA51" s="15"/>
      <c r="AB51" s="15"/>
      <c r="AC51" s="15"/>
      <c r="AD51" s="15"/>
      <c r="AE51" s="15"/>
      <c r="AF51" s="15"/>
    </row>
    <row x14ac:dyDescent="0.25" r="52" customHeight="1" ht="16.5">
      <c r="A52" s="12"/>
      <c r="B52" s="11"/>
      <c r="C52" s="11"/>
      <c r="D52" s="11"/>
      <c r="E52" s="11"/>
      <c r="F52" s="12"/>
      <c r="G52" s="11"/>
      <c r="H52" s="12"/>
      <c r="I52" s="13"/>
      <c r="J52" s="13"/>
      <c r="K52" s="13"/>
      <c r="L52" s="13"/>
      <c r="M52" s="14"/>
      <c r="N52" s="13"/>
      <c r="O52" s="14"/>
      <c r="P52" s="13"/>
      <c r="Q52" s="13"/>
      <c r="R52" s="13"/>
      <c r="S52" s="13"/>
      <c r="T52" s="14"/>
      <c r="U52" s="13"/>
      <c r="V52" s="14"/>
      <c r="W52" s="15"/>
      <c r="X52" s="15"/>
      <c r="Y52" s="15"/>
      <c r="Z52" s="15"/>
      <c r="AA52" s="15"/>
      <c r="AB52" s="15"/>
      <c r="AC52" s="15"/>
      <c r="AD52" s="15"/>
      <c r="AE52" s="15"/>
      <c r="AF52" s="15"/>
    </row>
    <row x14ac:dyDescent="0.25" r="53" customHeight="1" ht="16.5">
      <c r="A53" s="12"/>
      <c r="B53" s="19" t="s">
        <v>15</v>
      </c>
      <c r="C53" s="20"/>
      <c r="D53" s="20"/>
      <c r="E53" s="20"/>
      <c r="F53" s="83"/>
      <c r="G53" s="20"/>
      <c r="H53" s="83"/>
      <c r="I53" s="84" t="s">
        <v>16</v>
      </c>
      <c r="J53" s="85"/>
      <c r="K53" s="85"/>
      <c r="L53" s="85"/>
      <c r="M53" s="201"/>
      <c r="N53" s="85"/>
      <c r="O53" s="21"/>
      <c r="P53" s="19" t="s">
        <v>17</v>
      </c>
      <c r="Q53" s="20"/>
      <c r="R53" s="20"/>
      <c r="S53" s="20"/>
      <c r="T53" s="83"/>
      <c r="U53" s="20"/>
      <c r="V53" s="21"/>
      <c r="W53" s="22" t="s">
        <v>18</v>
      </c>
      <c r="X53" s="23"/>
      <c r="Y53" s="23"/>
      <c r="Z53" s="23"/>
      <c r="AA53" s="24"/>
      <c r="AB53" s="22" t="s">
        <v>19</v>
      </c>
      <c r="AC53" s="23"/>
      <c r="AD53" s="23"/>
      <c r="AE53" s="23"/>
      <c r="AF53" s="24"/>
    </row>
    <row x14ac:dyDescent="0.25" r="54" customHeight="1" ht="16.5">
      <c r="A54" s="112" t="s">
        <v>20</v>
      </c>
      <c r="B54" s="113" t="s">
        <v>21</v>
      </c>
      <c r="C54" s="114" t="s">
        <v>22</v>
      </c>
      <c r="D54" s="114" t="s">
        <v>23</v>
      </c>
      <c r="E54" s="114" t="s">
        <v>24</v>
      </c>
      <c r="F54" s="208" t="s">
        <v>25</v>
      </c>
      <c r="G54" s="116" t="s">
        <v>26</v>
      </c>
      <c r="H54" s="117" t="s">
        <v>27</v>
      </c>
      <c r="I54" s="113" t="s">
        <v>21</v>
      </c>
      <c r="J54" s="114" t="s">
        <v>22</v>
      </c>
      <c r="K54" s="114" t="s">
        <v>23</v>
      </c>
      <c r="L54" s="114" t="s">
        <v>24</v>
      </c>
      <c r="M54" s="208" t="s">
        <v>25</v>
      </c>
      <c r="N54" s="116" t="s">
        <v>26</v>
      </c>
      <c r="O54" s="142" t="s">
        <v>27</v>
      </c>
      <c r="P54" s="113" t="s">
        <v>21</v>
      </c>
      <c r="Q54" s="119" t="s">
        <v>22</v>
      </c>
      <c r="R54" s="119" t="s">
        <v>23</v>
      </c>
      <c r="S54" s="119" t="s">
        <v>24</v>
      </c>
      <c r="T54" s="117" t="s">
        <v>25</v>
      </c>
      <c r="U54" s="121" t="s">
        <v>26</v>
      </c>
      <c r="V54" s="117" t="s">
        <v>27</v>
      </c>
      <c r="W54" s="122" t="s">
        <v>21</v>
      </c>
      <c r="X54" s="123" t="s">
        <v>22</v>
      </c>
      <c r="Y54" s="123" t="s">
        <v>23</v>
      </c>
      <c r="Z54" s="123" t="s">
        <v>24</v>
      </c>
      <c r="AA54" s="124" t="s">
        <v>28</v>
      </c>
      <c r="AB54" s="122" t="s">
        <v>21</v>
      </c>
      <c r="AC54" s="123" t="s">
        <v>22</v>
      </c>
      <c r="AD54" s="123" t="s">
        <v>23</v>
      </c>
      <c r="AE54" s="123" t="s">
        <v>24</v>
      </c>
      <c r="AF54" s="124" t="s">
        <v>28</v>
      </c>
    </row>
    <row x14ac:dyDescent="0.25" r="55" customHeight="1" ht="16.5">
      <c r="A55" s="95" t="s">
        <v>167</v>
      </c>
      <c r="B55" s="143">
        <v>1</v>
      </c>
      <c r="C55" s="46">
        <v>5</v>
      </c>
      <c r="D55" s="46">
        <v>0</v>
      </c>
      <c r="E55" s="46">
        <v>0</v>
      </c>
      <c r="F55" s="206"/>
      <c r="G55" s="48">
        <v>4</v>
      </c>
      <c r="H55" s="104" t="s">
        <v>168</v>
      </c>
      <c r="I55" s="103">
        <v>0</v>
      </c>
      <c r="J55" s="46">
        <v>6</v>
      </c>
      <c r="K55" s="46">
        <v>0</v>
      </c>
      <c r="L55" s="46">
        <v>1</v>
      </c>
      <c r="M55" s="206"/>
      <c r="N55" s="48">
        <v>3</v>
      </c>
      <c r="O55" s="144" t="s">
        <v>169</v>
      </c>
      <c r="P55" s="103">
        <v>0</v>
      </c>
      <c r="Q55" s="46">
        <v>6</v>
      </c>
      <c r="R55" s="46">
        <v>0</v>
      </c>
      <c r="S55" s="46">
        <v>1</v>
      </c>
      <c r="T55" s="206"/>
      <c r="U55" s="48">
        <v>3</v>
      </c>
      <c r="V55" s="104" t="s">
        <v>170</v>
      </c>
      <c r="W55" s="129">
        <f>AVERAGE(B55,I55,P55)</f>
      </c>
      <c r="X55" s="129">
        <f>AVERAGE(C55,J55,Q55)</f>
      </c>
      <c r="Y55" s="129">
        <f>AVERAGE(D55,K55,R55)</f>
      </c>
      <c r="Z55" s="129">
        <f>AVERAGE(E55,L55,S55)</f>
      </c>
      <c r="AA55" s="130">
        <f>AVERAGE(G55,N55,U55)</f>
      </c>
      <c r="AB55" s="53">
        <f>STDEV(B55,I55,P55)</f>
      </c>
      <c r="AC55" s="53">
        <f>STDEV(C55,J55,Q55)</f>
      </c>
      <c r="AD55" s="53">
        <f>STDEV(D55,K55,R55)</f>
      </c>
      <c r="AE55" s="53">
        <f>STDEV(E55,L55,S55)</f>
      </c>
      <c r="AF55" s="54">
        <f>STDEV(G55,N55,U55)</f>
      </c>
    </row>
    <row x14ac:dyDescent="0.25" r="56" customHeight="1" ht="16.5">
      <c r="A56" s="56" t="s">
        <v>171</v>
      </c>
      <c r="B56" s="100">
        <v>0</v>
      </c>
      <c r="C56" s="40">
        <v>5</v>
      </c>
      <c r="D56" s="40">
        <v>0</v>
      </c>
      <c r="E56" s="40">
        <v>1</v>
      </c>
      <c r="F56" s="195"/>
      <c r="G56" s="55">
        <v>1</v>
      </c>
      <c r="H56" s="102" t="s">
        <v>172</v>
      </c>
      <c r="I56" s="39">
        <v>0</v>
      </c>
      <c r="J56" s="40">
        <v>6</v>
      </c>
      <c r="K56" s="40">
        <v>0</v>
      </c>
      <c r="L56" s="40">
        <v>1</v>
      </c>
      <c r="M56" s="195"/>
      <c r="N56" s="55">
        <v>4</v>
      </c>
      <c r="O56" s="133" t="s">
        <v>173</v>
      </c>
      <c r="P56" s="39">
        <v>0</v>
      </c>
      <c r="Q56" s="40">
        <v>6</v>
      </c>
      <c r="R56" s="40">
        <v>0</v>
      </c>
      <c r="S56" s="40">
        <v>1</v>
      </c>
      <c r="T56" s="195"/>
      <c r="U56" s="55">
        <v>3</v>
      </c>
      <c r="V56" s="133" t="s">
        <v>174</v>
      </c>
      <c r="W56" s="51">
        <f>AVERAGE(B56,I56,P56)</f>
      </c>
      <c r="X56" s="51">
        <f>AVERAGE(C56,J56,Q56)</f>
      </c>
      <c r="Y56" s="51">
        <f>AVERAGE(D56,K56,R56)</f>
      </c>
      <c r="Z56" s="51">
        <f>AVERAGE(E56,L56,S56)</f>
      </c>
      <c r="AA56" s="52">
        <f>AVERAGE(G56,N56,U56)</f>
      </c>
      <c r="AB56" s="53">
        <f>STDEV(B56,I56,P56)</f>
      </c>
      <c r="AC56" s="53">
        <f>STDEV(C56,J56,Q56)</f>
      </c>
      <c r="AD56" s="53">
        <f>STDEV(D56,K56,R56)</f>
      </c>
      <c r="AE56" s="53">
        <f>STDEV(E56,L56,S56)</f>
      </c>
      <c r="AF56" s="54">
        <f>STDEV(G56,N56,U56)</f>
      </c>
    </row>
    <row x14ac:dyDescent="0.25" r="57" customHeight="1" ht="16.5">
      <c r="A57" s="56" t="s">
        <v>175</v>
      </c>
      <c r="B57" s="100">
        <v>0</v>
      </c>
      <c r="C57" s="40">
        <v>5</v>
      </c>
      <c r="D57" s="40">
        <v>0</v>
      </c>
      <c r="E57" s="40">
        <v>1</v>
      </c>
      <c r="F57" s="195"/>
      <c r="G57" s="55">
        <v>2</v>
      </c>
      <c r="H57" s="102" t="s">
        <v>142</v>
      </c>
      <c r="I57" s="39">
        <v>2</v>
      </c>
      <c r="J57" s="40">
        <v>6</v>
      </c>
      <c r="K57" s="40">
        <v>0</v>
      </c>
      <c r="L57" s="40">
        <v>0</v>
      </c>
      <c r="M57" s="195"/>
      <c r="N57" s="55">
        <v>2</v>
      </c>
      <c r="O57" s="133" t="s">
        <v>176</v>
      </c>
      <c r="P57" s="39">
        <v>1</v>
      </c>
      <c r="Q57" s="40">
        <v>5</v>
      </c>
      <c r="R57" s="40">
        <v>0</v>
      </c>
      <c r="S57" s="40">
        <v>0</v>
      </c>
      <c r="T57" s="195"/>
      <c r="U57" s="55">
        <v>1</v>
      </c>
      <c r="V57" s="102" t="s">
        <v>177</v>
      </c>
      <c r="W57" s="51">
        <f>AVERAGE(B57,I57,P57)</f>
      </c>
      <c r="X57" s="51">
        <f>AVERAGE(C57,J57,Q57)</f>
      </c>
      <c r="Y57" s="51">
        <f>AVERAGE(D57,K57,R57)</f>
      </c>
      <c r="Z57" s="51">
        <f>AVERAGE(E57,L57,S57)</f>
      </c>
      <c r="AA57" s="52">
        <f>AVERAGE(G57,N57,U57)</f>
      </c>
      <c r="AB57" s="53">
        <f>STDEV(B57,I57,P57)</f>
      </c>
      <c r="AC57" s="53">
        <f>STDEV(C57,J57,Q57)</f>
      </c>
      <c r="AD57" s="53">
        <f>STDEV(D57,K57,R57)</f>
      </c>
      <c r="AE57" s="53">
        <f>STDEV(E57,L57,S57)</f>
      </c>
      <c r="AF57" s="54">
        <f>STDEV(G57,N57,U57)</f>
      </c>
    </row>
    <row x14ac:dyDescent="0.25" r="58" customHeight="1" ht="16.5">
      <c r="A58" s="56" t="s">
        <v>178</v>
      </c>
      <c r="B58" s="65">
        <v>0</v>
      </c>
      <c r="C58" s="66">
        <v>4</v>
      </c>
      <c r="D58" s="66">
        <v>0</v>
      </c>
      <c r="E58" s="66">
        <v>1</v>
      </c>
      <c r="F58" s="199"/>
      <c r="G58" s="68">
        <v>2</v>
      </c>
      <c r="H58" s="111" t="s">
        <v>142</v>
      </c>
      <c r="I58" s="65">
        <v>0</v>
      </c>
      <c r="J58" s="66">
        <v>6</v>
      </c>
      <c r="K58" s="66">
        <v>0</v>
      </c>
      <c r="L58" s="66">
        <v>1</v>
      </c>
      <c r="M58" s="199"/>
      <c r="N58" s="68">
        <v>5</v>
      </c>
      <c r="O58" s="141" t="s">
        <v>179</v>
      </c>
      <c r="P58" s="65">
        <v>0</v>
      </c>
      <c r="Q58" s="66">
        <v>5</v>
      </c>
      <c r="R58" s="66">
        <v>0</v>
      </c>
      <c r="S58" s="66">
        <v>1</v>
      </c>
      <c r="T58" s="199"/>
      <c r="U58" s="68">
        <v>4</v>
      </c>
      <c r="V58" s="111" t="s">
        <v>180</v>
      </c>
      <c r="W58" s="78">
        <f>AVERAGE(B58,I58,P58)</f>
      </c>
      <c r="X58" s="78">
        <f>AVERAGE(C58,J58,Q58)</f>
      </c>
      <c r="Y58" s="78">
        <f>AVERAGE(D58,K58,R58)</f>
      </c>
      <c r="Z58" s="78">
        <f>AVERAGE(E58,L58,S58)</f>
      </c>
      <c r="AA58" s="79">
        <f>AVERAGE(G58,N58,U58)</f>
      </c>
      <c r="AB58" s="80">
        <f>STDEV(B58,I58,P58)</f>
      </c>
      <c r="AC58" s="80">
        <f>STDEV(C58,J58,Q58)</f>
      </c>
      <c r="AD58" s="80">
        <f>STDEV(D58,K58,R58)</f>
      </c>
      <c r="AE58" s="80">
        <f>STDEV(E58,L58,S58)</f>
      </c>
      <c r="AF58" s="81">
        <f>STDEV(G58,N58,U58)</f>
      </c>
    </row>
    <row x14ac:dyDescent="0.25" r="59" customHeight="1" ht="16.5">
      <c r="A59" s="12"/>
      <c r="B59" s="11"/>
      <c r="C59" s="11"/>
      <c r="D59" s="11"/>
      <c r="E59" s="11"/>
      <c r="F59" s="12"/>
      <c r="G59" s="11"/>
      <c r="H59" s="12"/>
      <c r="I59" s="13"/>
      <c r="J59" s="13"/>
      <c r="K59" s="13"/>
      <c r="L59" s="13"/>
      <c r="M59" s="14"/>
      <c r="N59" s="13"/>
      <c r="O59" s="14"/>
      <c r="P59" s="13"/>
      <c r="Q59" s="13"/>
      <c r="R59" s="13"/>
      <c r="S59" s="13"/>
      <c r="T59" s="14"/>
      <c r="U59" s="13"/>
      <c r="V59" s="14"/>
      <c r="W59" s="15"/>
      <c r="X59" s="15"/>
      <c r="Y59" s="15"/>
      <c r="Z59" s="15"/>
      <c r="AA59" s="15"/>
      <c r="AB59" s="15"/>
      <c r="AC59" s="15"/>
      <c r="AD59" s="15"/>
      <c r="AE59" s="15"/>
      <c r="AF59" s="15"/>
    </row>
    <row x14ac:dyDescent="0.25" r="60" customHeight="1" ht="16.5">
      <c r="A60" s="12"/>
      <c r="B60" s="11"/>
      <c r="C60" s="11"/>
      <c r="D60" s="11"/>
      <c r="E60" s="11"/>
      <c r="F60" s="12"/>
      <c r="G60" s="11"/>
      <c r="H60" s="12"/>
      <c r="I60" s="13"/>
      <c r="J60" s="13"/>
      <c r="K60" s="13"/>
      <c r="L60" s="13"/>
      <c r="M60" s="14"/>
      <c r="N60" s="13"/>
      <c r="O60" s="14"/>
      <c r="P60" s="13"/>
      <c r="Q60" s="13"/>
      <c r="R60" s="13"/>
      <c r="S60" s="13"/>
      <c r="T60" s="14"/>
      <c r="U60" s="13"/>
      <c r="V60" s="14"/>
      <c r="W60" s="15"/>
      <c r="X60" s="15"/>
      <c r="Y60" s="15"/>
      <c r="Z60" s="15"/>
      <c r="AA60" s="15"/>
      <c r="AB60" s="15"/>
      <c r="AC60" s="15"/>
      <c r="AD60" s="15"/>
      <c r="AE60" s="15"/>
      <c r="AF60" s="15"/>
    </row>
    <row x14ac:dyDescent="0.25" r="61" customHeight="1" ht="16.5">
      <c r="A61" s="12"/>
      <c r="B61" s="11"/>
      <c r="C61" s="11"/>
      <c r="D61" s="11"/>
      <c r="E61" s="11"/>
      <c r="F61" s="12"/>
      <c r="G61" s="11"/>
      <c r="H61" s="12"/>
      <c r="I61" s="13"/>
      <c r="J61" s="13"/>
      <c r="K61" s="13"/>
      <c r="L61" s="13"/>
      <c r="M61" s="14"/>
      <c r="N61" s="13"/>
      <c r="O61" s="14"/>
      <c r="P61" s="13"/>
      <c r="Q61" s="13"/>
      <c r="R61" s="13"/>
      <c r="S61" s="13"/>
      <c r="T61" s="14"/>
      <c r="U61" s="13"/>
      <c r="V61" s="14"/>
      <c r="W61" s="15"/>
      <c r="X61" s="15"/>
      <c r="Y61" s="15"/>
      <c r="Z61" s="15"/>
      <c r="AA61" s="15"/>
      <c r="AB61" s="15"/>
      <c r="AC61" s="15"/>
      <c r="AD61" s="15"/>
      <c r="AE61" s="15"/>
      <c r="AF61" s="15"/>
    </row>
    <row x14ac:dyDescent="0.25" r="62" customHeight="1" ht="16.5">
      <c r="A62" s="12"/>
      <c r="B62" s="11"/>
      <c r="C62" s="11"/>
      <c r="D62" s="11"/>
      <c r="E62" s="11"/>
      <c r="F62" s="12"/>
      <c r="G62" s="11"/>
      <c r="H62" s="12"/>
      <c r="I62" s="13"/>
      <c r="J62" s="13"/>
      <c r="K62" s="13"/>
      <c r="L62" s="13"/>
      <c r="M62" s="14"/>
      <c r="N62" s="13"/>
      <c r="O62" s="14"/>
      <c r="P62" s="13"/>
      <c r="Q62" s="13"/>
      <c r="R62" s="13"/>
      <c r="S62" s="13"/>
      <c r="T62" s="14"/>
      <c r="U62" s="13"/>
      <c r="V62" s="14"/>
      <c r="W62" s="15"/>
      <c r="X62" s="15"/>
      <c r="Y62" s="15"/>
      <c r="Z62" s="15"/>
      <c r="AA62" s="15"/>
      <c r="AB62" s="15"/>
      <c r="AC62" s="15"/>
      <c r="AD62" s="15"/>
      <c r="AE62" s="15"/>
      <c r="AF62" s="15"/>
    </row>
    <row x14ac:dyDescent="0.25" r="63" customHeight="1" ht="16.5">
      <c r="A63" s="12"/>
      <c r="B63" s="19" t="s">
        <v>15</v>
      </c>
      <c r="C63" s="20"/>
      <c r="D63" s="20"/>
      <c r="E63" s="20"/>
      <c r="F63" s="83"/>
      <c r="G63" s="20"/>
      <c r="H63" s="21"/>
      <c r="I63" s="19" t="s">
        <v>16</v>
      </c>
      <c r="J63" s="20"/>
      <c r="K63" s="20"/>
      <c r="L63" s="20"/>
      <c r="M63" s="83"/>
      <c r="N63" s="20"/>
      <c r="O63" s="21"/>
      <c r="P63" s="19" t="s">
        <v>17</v>
      </c>
      <c r="Q63" s="20"/>
      <c r="R63" s="20"/>
      <c r="S63" s="20"/>
      <c r="T63" s="83"/>
      <c r="U63" s="20"/>
      <c r="V63" s="21"/>
      <c r="W63" s="22" t="s">
        <v>18</v>
      </c>
      <c r="X63" s="23"/>
      <c r="Y63" s="23"/>
      <c r="Z63" s="23"/>
      <c r="AA63" s="24"/>
      <c r="AB63" s="22" t="s">
        <v>19</v>
      </c>
      <c r="AC63" s="23"/>
      <c r="AD63" s="23"/>
      <c r="AE63" s="23"/>
      <c r="AF63" s="24"/>
    </row>
    <row x14ac:dyDescent="0.25" r="64" customHeight="1" ht="16.5">
      <c r="A64" s="25" t="s">
        <v>20</v>
      </c>
      <c r="B64" s="32" t="s">
        <v>21</v>
      </c>
      <c r="C64" s="27" t="s">
        <v>22</v>
      </c>
      <c r="D64" s="27" t="s">
        <v>23</v>
      </c>
      <c r="E64" s="27" t="s">
        <v>24</v>
      </c>
      <c r="F64" s="194" t="s">
        <v>25</v>
      </c>
      <c r="G64" s="29" t="s">
        <v>26</v>
      </c>
      <c r="H64" s="145" t="s">
        <v>27</v>
      </c>
      <c r="I64" s="146" t="s">
        <v>21</v>
      </c>
      <c r="J64" s="87" t="s">
        <v>22</v>
      </c>
      <c r="K64" s="87" t="s">
        <v>23</v>
      </c>
      <c r="L64" s="87" t="s">
        <v>24</v>
      </c>
      <c r="M64" s="202" t="s">
        <v>25</v>
      </c>
      <c r="N64" s="88" t="s">
        <v>26</v>
      </c>
      <c r="O64" s="99" t="s">
        <v>27</v>
      </c>
      <c r="P64" s="32" t="s">
        <v>21</v>
      </c>
      <c r="Q64" s="32" t="s">
        <v>22</v>
      </c>
      <c r="R64" s="32" t="s">
        <v>23</v>
      </c>
      <c r="S64" s="32" t="s">
        <v>24</v>
      </c>
      <c r="T64" s="30" t="s">
        <v>25</v>
      </c>
      <c r="U64" s="34" t="s">
        <v>26</v>
      </c>
      <c r="V64" s="30" t="s">
        <v>27</v>
      </c>
      <c r="W64" s="35" t="s">
        <v>21</v>
      </c>
      <c r="X64" s="36" t="s">
        <v>22</v>
      </c>
      <c r="Y64" s="36" t="s">
        <v>23</v>
      </c>
      <c r="Z64" s="36" t="s">
        <v>24</v>
      </c>
      <c r="AA64" s="37" t="s">
        <v>28</v>
      </c>
      <c r="AB64" s="35" t="s">
        <v>21</v>
      </c>
      <c r="AC64" s="36" t="s">
        <v>22</v>
      </c>
      <c r="AD64" s="36" t="s">
        <v>23</v>
      </c>
      <c r="AE64" s="36" t="s">
        <v>24</v>
      </c>
      <c r="AF64" s="37" t="s">
        <v>28</v>
      </c>
    </row>
    <row x14ac:dyDescent="0.25" r="65" customHeight="1" ht="16.5">
      <c r="A65" s="56" t="s">
        <v>181</v>
      </c>
      <c r="B65" s="211">
        <v>0</v>
      </c>
      <c r="C65" s="41">
        <v>3</v>
      </c>
      <c r="D65" s="41">
        <v>0</v>
      </c>
      <c r="E65" s="41">
        <v>1</v>
      </c>
      <c r="F65" s="205"/>
      <c r="G65" s="43">
        <v>1</v>
      </c>
      <c r="H65" s="56" t="s">
        <v>182</v>
      </c>
      <c r="I65" s="211">
        <v>0</v>
      </c>
      <c r="J65" s="41">
        <v>3</v>
      </c>
      <c r="K65" s="41">
        <v>0</v>
      </c>
      <c r="L65" s="41">
        <v>1</v>
      </c>
      <c r="M65" s="205"/>
      <c r="N65" s="43">
        <v>1</v>
      </c>
      <c r="O65" s="56" t="s">
        <v>182</v>
      </c>
      <c r="P65" s="57">
        <v>0</v>
      </c>
      <c r="Q65" s="40">
        <v>5</v>
      </c>
      <c r="R65" s="40">
        <v>0</v>
      </c>
      <c r="S65" s="40">
        <v>1</v>
      </c>
      <c r="T65" s="195"/>
      <c r="U65" s="55">
        <v>3</v>
      </c>
      <c r="V65" s="102" t="s">
        <v>151</v>
      </c>
      <c r="W65" s="151">
        <f>AVERAGE(B65,I65,P65)</f>
      </c>
      <c r="X65" s="151">
        <f>AVERAGE(C65,J65,Q65)</f>
      </c>
      <c r="Y65" s="151">
        <f>AVERAGE(D65,K65,R65)</f>
      </c>
      <c r="Z65" s="151">
        <f>AVERAGE(E65,L65,S65)</f>
      </c>
      <c r="AA65" s="152">
        <f>AVERAGE(G65,N65,U65)</f>
      </c>
      <c r="AB65" s="153">
        <f>STDEV(B65,I65,P65)</f>
      </c>
      <c r="AC65" s="153">
        <f>STDEV(C65,J65,Q65)</f>
      </c>
      <c r="AD65" s="153">
        <f>STDEV(D65,K65,R65)</f>
      </c>
      <c r="AE65" s="153">
        <f>STDEV(E65,L65,S65)</f>
      </c>
      <c r="AF65" s="154">
        <f>STDEV(G65,N65,U65)</f>
      </c>
    </row>
    <row x14ac:dyDescent="0.25" r="66" customHeight="1" ht="16.5">
      <c r="A66" s="56" t="s">
        <v>183</v>
      </c>
      <c r="B66" s="155">
        <v>1</v>
      </c>
      <c r="C66" s="156">
        <v>3</v>
      </c>
      <c r="D66" s="156">
        <v>0</v>
      </c>
      <c r="E66" s="156">
        <v>1</v>
      </c>
      <c r="F66" s="212"/>
      <c r="G66" s="158">
        <v>0</v>
      </c>
      <c r="H66" s="63" t="s">
        <v>184</v>
      </c>
      <c r="I66" s="159">
        <v>1</v>
      </c>
      <c r="J66" s="60">
        <v>3</v>
      </c>
      <c r="K66" s="60">
        <v>0</v>
      </c>
      <c r="L66" s="60">
        <v>1</v>
      </c>
      <c r="M66" s="197"/>
      <c r="N66" s="61">
        <v>0</v>
      </c>
      <c r="O66" s="63" t="s">
        <v>184</v>
      </c>
      <c r="P66" s="155">
        <v>1</v>
      </c>
      <c r="Q66" s="156">
        <v>3</v>
      </c>
      <c r="R66" s="156">
        <v>0</v>
      </c>
      <c r="S66" s="156">
        <v>1</v>
      </c>
      <c r="T66" s="212"/>
      <c r="U66" s="158">
        <v>0</v>
      </c>
      <c r="V66" s="63" t="s">
        <v>184</v>
      </c>
      <c r="W66" s="151">
        <f>AVERAGE(B66,I66,P66)</f>
      </c>
      <c r="X66" s="151">
        <f>AVERAGE(C66,J66,Q66)</f>
      </c>
      <c r="Y66" s="151">
        <f>AVERAGE(D66,K66,R66)</f>
      </c>
      <c r="Z66" s="151">
        <f>AVERAGE(E66,L66,S66)</f>
      </c>
      <c r="AA66" s="152">
        <f>AVERAGE(G66,N66,U66)</f>
      </c>
      <c r="AB66" s="153">
        <f>STDEV(B66,I66,P66)</f>
      </c>
      <c r="AC66" s="153">
        <f>STDEV(C66,J66,Q66)</f>
      </c>
      <c r="AD66" s="153">
        <f>STDEV(D66,K66,R66)</f>
      </c>
      <c r="AE66" s="153">
        <f>STDEV(E66,L66,S66)</f>
      </c>
      <c r="AF66" s="154">
        <f>STDEV(G66,N66,U66)</f>
      </c>
    </row>
    <row x14ac:dyDescent="0.25" r="67" customHeight="1" ht="16.5">
      <c r="A67" s="56" t="s">
        <v>185</v>
      </c>
      <c r="B67" s="155">
        <v>2</v>
      </c>
      <c r="C67" s="156">
        <v>5</v>
      </c>
      <c r="D67" s="156">
        <v>0</v>
      </c>
      <c r="E67" s="156">
        <v>0</v>
      </c>
      <c r="F67" s="212"/>
      <c r="G67" s="158">
        <v>3</v>
      </c>
      <c r="H67" s="63" t="s">
        <v>186</v>
      </c>
      <c r="I67" s="159">
        <v>3</v>
      </c>
      <c r="J67" s="60">
        <v>13</v>
      </c>
      <c r="K67" s="60">
        <v>0</v>
      </c>
      <c r="L67" s="60">
        <v>0</v>
      </c>
      <c r="M67" s="197"/>
      <c r="N67" s="61">
        <v>7</v>
      </c>
      <c r="O67" s="63" t="s">
        <v>187</v>
      </c>
      <c r="P67" s="159">
        <v>1</v>
      </c>
      <c r="Q67" s="60">
        <v>6</v>
      </c>
      <c r="R67" s="60">
        <v>0</v>
      </c>
      <c r="S67" s="60">
        <v>0</v>
      </c>
      <c r="T67" s="197"/>
      <c r="U67" s="62">
        <v>4</v>
      </c>
      <c r="V67" s="198" t="s">
        <v>188</v>
      </c>
      <c r="W67" s="151">
        <f>AVERAGE(B67,I67,P67)</f>
      </c>
      <c r="X67" s="151">
        <f>AVERAGE(C67,J67,Q67)</f>
      </c>
      <c r="Y67" s="151">
        <f>AVERAGE(D67,K67,R67)</f>
      </c>
      <c r="Z67" s="151">
        <f>AVERAGE(E67,L67,S67)</f>
      </c>
      <c r="AA67" s="152">
        <f>AVERAGE(G67,N67,U67)</f>
      </c>
      <c r="AB67" s="153">
        <f>STDEV(B67,I67,P67)</f>
      </c>
      <c r="AC67" s="153">
        <f>STDEV(C67,J67,Q67)</f>
      </c>
      <c r="AD67" s="153">
        <f>STDEV(D67,K67,R67)</f>
      </c>
      <c r="AE67" s="153">
        <f>STDEV(E67,L67,S67)</f>
      </c>
      <c r="AF67" s="154">
        <f>STDEV(G67,N67,U67)</f>
      </c>
    </row>
    <row x14ac:dyDescent="0.25" r="68" customHeight="1" ht="16.5">
      <c r="A68" s="69" t="s">
        <v>189</v>
      </c>
      <c r="B68" s="160">
        <v>0</v>
      </c>
      <c r="C68" s="108">
        <v>2</v>
      </c>
      <c r="D68" s="108">
        <v>0</v>
      </c>
      <c r="E68" s="108">
        <v>1</v>
      </c>
      <c r="F68" s="207"/>
      <c r="G68" s="110">
        <v>2</v>
      </c>
      <c r="H68" s="69" t="s">
        <v>154</v>
      </c>
      <c r="I68" s="97">
        <v>0</v>
      </c>
      <c r="J68" s="66">
        <v>4</v>
      </c>
      <c r="K68" s="66">
        <v>0</v>
      </c>
      <c r="L68" s="66">
        <v>1</v>
      </c>
      <c r="M68" s="199"/>
      <c r="N68" s="67">
        <v>2</v>
      </c>
      <c r="O68" s="69" t="s">
        <v>190</v>
      </c>
      <c r="P68" s="97">
        <v>0</v>
      </c>
      <c r="Q68" s="66">
        <v>4</v>
      </c>
      <c r="R68" s="66">
        <v>0</v>
      </c>
      <c r="S68" s="66">
        <v>1</v>
      </c>
      <c r="T68" s="199"/>
      <c r="U68" s="68">
        <v>2</v>
      </c>
      <c r="V68" s="200"/>
      <c r="W68" s="161">
        <f>AVERAGE(B68,I68,P68)</f>
      </c>
      <c r="X68" s="161">
        <f>AVERAGE(C68,J68,Q68)</f>
      </c>
      <c r="Y68" s="161">
        <f>AVERAGE(D68,K68,R68)</f>
      </c>
      <c r="Z68" s="161">
        <f>AVERAGE(E68,L68,S68)</f>
      </c>
      <c r="AA68" s="162">
        <f>AVERAGE(G68,N68,U68)</f>
      </c>
      <c r="AB68" s="163">
        <f>STDEV(B68,I68,P68)</f>
      </c>
      <c r="AC68" s="163">
        <f>STDEV(C68,J68,Q68)</f>
      </c>
      <c r="AD68" s="163">
        <f>STDEV(D68,K68,R68)</f>
      </c>
      <c r="AE68" s="163">
        <f>STDEV(E68,L68,S68)</f>
      </c>
      <c r="AF68" s="164">
        <f>STDEV(G68,N68,U68)</f>
      </c>
    </row>
    <row x14ac:dyDescent="0.25" r="69" customHeight="1" ht="16.5">
      <c r="A69" s="12"/>
      <c r="B69" s="11"/>
      <c r="C69" s="11"/>
      <c r="D69" s="11"/>
      <c r="E69" s="11"/>
      <c r="F69" s="12"/>
      <c r="G69" s="11"/>
      <c r="H69" s="12"/>
      <c r="I69" s="13"/>
      <c r="J69" s="13"/>
      <c r="K69" s="13"/>
      <c r="L69" s="13"/>
      <c r="M69" s="14"/>
      <c r="N69" s="13"/>
      <c r="O69" s="14"/>
      <c r="P69" s="13"/>
      <c r="Q69" s="13"/>
      <c r="R69" s="13"/>
      <c r="S69" s="13"/>
      <c r="T69" s="14"/>
      <c r="U69" s="13"/>
      <c r="V69" s="14"/>
      <c r="W69" s="15"/>
      <c r="X69" s="15"/>
      <c r="Y69" s="15"/>
      <c r="Z69" s="15"/>
      <c r="AA69" s="15"/>
      <c r="AB69" s="15"/>
      <c r="AC69" s="15"/>
      <c r="AD69" s="15"/>
      <c r="AE69" s="15"/>
      <c r="AF69" s="15"/>
    </row>
    <row x14ac:dyDescent="0.25" r="70" customHeight="1" ht="16.5">
      <c r="A70" s="12"/>
      <c r="B70" s="11"/>
      <c r="C70" s="11"/>
      <c r="D70" s="11"/>
      <c r="E70" s="11"/>
      <c r="F70" s="12"/>
      <c r="G70" s="11"/>
      <c r="H70" s="12"/>
      <c r="I70" s="13"/>
      <c r="J70" s="13"/>
      <c r="K70" s="13"/>
      <c r="L70" s="13"/>
      <c r="M70" s="14"/>
      <c r="N70" s="13"/>
      <c r="O70" s="14"/>
      <c r="P70" s="13"/>
      <c r="Q70" s="13"/>
      <c r="R70" s="13"/>
      <c r="S70" s="13"/>
      <c r="T70" s="14"/>
      <c r="U70" s="13"/>
      <c r="V70" s="14"/>
      <c r="W70" s="15"/>
      <c r="X70" s="15"/>
      <c r="Y70" s="15"/>
      <c r="Z70" s="15"/>
      <c r="AA70" s="15"/>
      <c r="AB70" s="15"/>
      <c r="AC70" s="15"/>
      <c r="AD70" s="15"/>
      <c r="AE70" s="15"/>
      <c r="AF70" s="15"/>
    </row>
    <row x14ac:dyDescent="0.25" r="71" customHeight="1" ht="16.5">
      <c r="A71" s="12"/>
      <c r="B71" s="11"/>
      <c r="C71" s="11"/>
      <c r="D71" s="11"/>
      <c r="E71" s="11"/>
      <c r="F71" s="12"/>
      <c r="G71" s="11"/>
      <c r="H71" s="12"/>
      <c r="I71" s="13"/>
      <c r="J71" s="13"/>
      <c r="K71" s="13"/>
      <c r="L71" s="13"/>
      <c r="M71" s="14"/>
      <c r="N71" s="13"/>
      <c r="O71" s="14"/>
      <c r="P71" s="13"/>
      <c r="Q71" s="13"/>
      <c r="R71" s="13"/>
      <c r="S71" s="13"/>
      <c r="T71" s="14"/>
      <c r="U71" s="13"/>
      <c r="V71" s="14"/>
      <c r="W71" s="15"/>
      <c r="X71" s="15"/>
      <c r="Y71" s="15"/>
      <c r="Z71" s="15"/>
      <c r="AA71" s="15"/>
      <c r="AB71" s="15"/>
      <c r="AC71" s="15"/>
      <c r="AD71" s="15"/>
      <c r="AE71" s="15"/>
      <c r="AF71" s="15"/>
    </row>
    <row x14ac:dyDescent="0.25" r="72" customHeight="1" ht="16.5">
      <c r="A72" s="12"/>
      <c r="B72" s="11"/>
      <c r="C72" s="11"/>
      <c r="D72" s="11"/>
      <c r="E72" s="11"/>
      <c r="F72" s="12"/>
      <c r="G72" s="11"/>
      <c r="H72" s="12"/>
      <c r="I72" s="13"/>
      <c r="J72" s="13"/>
      <c r="K72" s="13"/>
      <c r="L72" s="13"/>
      <c r="M72" s="14"/>
      <c r="N72" s="13"/>
      <c r="O72" s="14"/>
      <c r="P72" s="13"/>
      <c r="Q72" s="13"/>
      <c r="R72" s="13"/>
      <c r="S72" s="13"/>
      <c r="T72" s="14"/>
      <c r="U72" s="13"/>
      <c r="V72" s="14"/>
      <c r="W72" s="15"/>
      <c r="X72" s="15"/>
      <c r="Y72" s="15"/>
      <c r="Z72" s="15"/>
      <c r="AA72" s="15"/>
      <c r="AB72" s="15"/>
      <c r="AC72" s="15"/>
      <c r="AD72" s="15"/>
      <c r="AE72" s="15"/>
      <c r="AF72" s="15"/>
    </row>
    <row x14ac:dyDescent="0.25" r="73" customHeight="1" ht="16">
      <c r="A73" s="165" t="s">
        <v>107</v>
      </c>
      <c r="B73" s="166"/>
      <c r="C73" s="166"/>
      <c r="D73" s="166"/>
      <c r="E73" s="166"/>
      <c r="F73" s="213"/>
      <c r="G73" s="167"/>
      <c r="H73" s="12"/>
      <c r="I73" s="13"/>
      <c r="J73" s="13"/>
      <c r="K73" s="13"/>
      <c r="L73" s="13"/>
      <c r="M73" s="14"/>
      <c r="N73" s="13"/>
      <c r="O73" s="14"/>
      <c r="P73" s="13"/>
      <c r="Q73" s="13"/>
      <c r="R73" s="13"/>
      <c r="S73" s="13"/>
      <c r="T73" s="14"/>
      <c r="U73" s="13"/>
      <c r="V73" s="14"/>
      <c r="W73" s="15"/>
      <c r="X73" s="15"/>
      <c r="Y73" s="15"/>
      <c r="Z73" s="15"/>
      <c r="AA73" s="15"/>
      <c r="AB73" s="15"/>
      <c r="AC73" s="15"/>
      <c r="AD73" s="15"/>
      <c r="AE73" s="15"/>
      <c r="AF73" s="15"/>
    </row>
    <row x14ac:dyDescent="0.25" r="74" customHeight="1" ht="16">
      <c r="A74" s="168"/>
      <c r="B74" s="169"/>
      <c r="C74" s="169"/>
      <c r="D74" s="169"/>
      <c r="E74" s="169"/>
      <c r="F74" s="214"/>
      <c r="G74" s="170"/>
      <c r="H74" s="12"/>
      <c r="I74" s="13"/>
      <c r="J74" s="13"/>
      <c r="K74" s="13"/>
      <c r="L74" s="13"/>
      <c r="M74" s="14"/>
      <c r="N74" s="13"/>
      <c r="O74" s="14"/>
      <c r="P74" s="13"/>
      <c r="Q74" s="13"/>
      <c r="R74" s="13"/>
      <c r="S74" s="13"/>
      <c r="T74" s="14"/>
      <c r="U74" s="13"/>
      <c r="V74" s="14"/>
      <c r="W74" s="15"/>
      <c r="X74" s="15"/>
      <c r="Y74" s="15"/>
      <c r="Z74" s="15"/>
      <c r="AA74" s="15"/>
      <c r="AB74" s="15"/>
      <c r="AC74" s="15"/>
      <c r="AD74" s="15"/>
      <c r="AE74" s="15"/>
      <c r="AF74" s="15"/>
    </row>
    <row x14ac:dyDescent="0.25" r="75" customHeight="1" ht="16" customFormat="1" s="1">
      <c r="A75" s="171" t="s">
        <v>191</v>
      </c>
      <c r="B75" s="172"/>
      <c r="C75" s="172"/>
      <c r="D75" s="172"/>
      <c r="E75" s="172"/>
      <c r="F75" s="173"/>
      <c r="G75" s="172"/>
      <c r="H75" s="173"/>
      <c r="I75" s="172"/>
      <c r="J75" s="172"/>
      <c r="K75" s="172"/>
      <c r="L75" s="172"/>
      <c r="M75" s="173"/>
      <c r="N75" s="172"/>
      <c r="O75" s="174"/>
      <c r="P75" s="6"/>
      <c r="Q75" s="6"/>
      <c r="R75" s="6"/>
      <c r="S75" s="6"/>
      <c r="T75" s="7"/>
      <c r="U75" s="6"/>
      <c r="V75" s="7"/>
      <c r="W75" s="8"/>
      <c r="X75" s="8"/>
      <c r="Y75" s="8"/>
      <c r="Z75" s="8"/>
      <c r="AA75" s="8"/>
      <c r="AB75" s="8"/>
      <c r="AC75" s="8"/>
      <c r="AD75" s="8"/>
      <c r="AE75" s="8"/>
      <c r="AF75" s="8"/>
    </row>
    <row x14ac:dyDescent="0.25" r="76" customHeight="1" ht="16" customFormat="1" s="1">
      <c r="A76" s="175"/>
      <c r="B76" s="176"/>
      <c r="C76" s="176"/>
      <c r="D76" s="176"/>
      <c r="E76" s="176"/>
      <c r="F76" s="177"/>
      <c r="G76" s="176"/>
      <c r="H76" s="177"/>
      <c r="I76" s="176"/>
      <c r="J76" s="176"/>
      <c r="K76" s="176"/>
      <c r="L76" s="176"/>
      <c r="M76" s="177"/>
      <c r="N76" s="176"/>
      <c r="O76" s="178"/>
      <c r="P76" s="6"/>
      <c r="Q76" s="6"/>
      <c r="R76" s="6"/>
      <c r="S76" s="6"/>
      <c r="T76" s="7"/>
      <c r="U76" s="6"/>
      <c r="V76" s="7"/>
      <c r="W76" s="8"/>
      <c r="X76" s="8"/>
      <c r="Y76" s="8"/>
      <c r="Z76" s="8"/>
      <c r="AA76" s="8"/>
      <c r="AB76" s="8"/>
      <c r="AC76" s="8"/>
      <c r="AD76" s="8"/>
      <c r="AE76" s="8"/>
      <c r="AF76" s="8"/>
    </row>
    <row x14ac:dyDescent="0.25" r="77" customHeight="1" ht="16" customFormat="1" s="1">
      <c r="A77" s="175"/>
      <c r="B77" s="176"/>
      <c r="C77" s="176"/>
      <c r="D77" s="176"/>
      <c r="E77" s="176"/>
      <c r="F77" s="177"/>
      <c r="G77" s="176"/>
      <c r="H77" s="177"/>
      <c r="I77" s="176"/>
      <c r="J77" s="176"/>
      <c r="K77" s="176"/>
      <c r="L77" s="176"/>
      <c r="M77" s="177"/>
      <c r="N77" s="176"/>
      <c r="O77" s="178"/>
      <c r="P77" s="6"/>
      <c r="Q77" s="6"/>
      <c r="R77" s="6"/>
      <c r="S77" s="6"/>
      <c r="T77" s="7"/>
      <c r="U77" s="6"/>
      <c r="V77" s="7"/>
      <c r="W77" s="8"/>
      <c r="X77" s="8"/>
      <c r="Y77" s="8"/>
      <c r="Z77" s="8"/>
      <c r="AA77" s="8"/>
      <c r="AB77" s="8"/>
      <c r="AC77" s="8"/>
      <c r="AD77" s="8"/>
      <c r="AE77" s="8"/>
      <c r="AF77" s="8"/>
    </row>
    <row x14ac:dyDescent="0.25" r="78" customHeight="1" ht="16" customFormat="1" s="1">
      <c r="A78" s="175"/>
      <c r="B78" s="176"/>
      <c r="C78" s="176"/>
      <c r="D78" s="176"/>
      <c r="E78" s="176"/>
      <c r="F78" s="177"/>
      <c r="G78" s="176"/>
      <c r="H78" s="177"/>
      <c r="I78" s="176"/>
      <c r="J78" s="176"/>
      <c r="K78" s="176"/>
      <c r="L78" s="176"/>
      <c r="M78" s="177"/>
      <c r="N78" s="176"/>
      <c r="O78" s="178"/>
      <c r="P78" s="6"/>
      <c r="Q78" s="6"/>
      <c r="R78" s="6"/>
      <c r="S78" s="6"/>
      <c r="T78" s="7"/>
      <c r="U78" s="6"/>
      <c r="V78" s="7"/>
      <c r="W78" s="8"/>
      <c r="X78" s="8"/>
      <c r="Y78" s="8"/>
      <c r="Z78" s="8"/>
      <c r="AA78" s="8"/>
      <c r="AB78" s="8"/>
      <c r="AC78" s="8"/>
      <c r="AD78" s="8"/>
      <c r="AE78" s="8"/>
      <c r="AF78" s="8"/>
    </row>
    <row x14ac:dyDescent="0.25" r="79" customHeight="1" ht="16" customFormat="1" s="1">
      <c r="A79" s="175"/>
      <c r="B79" s="176"/>
      <c r="C79" s="176"/>
      <c r="D79" s="176"/>
      <c r="E79" s="176"/>
      <c r="F79" s="177"/>
      <c r="G79" s="176"/>
      <c r="H79" s="177"/>
      <c r="I79" s="176"/>
      <c r="J79" s="176"/>
      <c r="K79" s="176"/>
      <c r="L79" s="176"/>
      <c r="M79" s="177"/>
      <c r="N79" s="176"/>
      <c r="O79" s="178"/>
      <c r="P79" s="6"/>
      <c r="Q79" s="6"/>
      <c r="R79" s="6"/>
      <c r="S79" s="6"/>
      <c r="T79" s="7"/>
      <c r="U79" s="6"/>
      <c r="V79" s="7"/>
      <c r="W79" s="8"/>
      <c r="X79" s="8"/>
      <c r="Y79" s="8"/>
      <c r="Z79" s="8"/>
      <c r="AA79" s="8"/>
      <c r="AB79" s="8"/>
      <c r="AC79" s="8"/>
      <c r="AD79" s="8"/>
      <c r="AE79" s="8"/>
      <c r="AF79" s="8"/>
    </row>
    <row x14ac:dyDescent="0.25" r="80" customHeight="1" ht="16" customFormat="1" s="1">
      <c r="A80" s="175"/>
      <c r="B80" s="176"/>
      <c r="C80" s="176"/>
      <c r="D80" s="176"/>
      <c r="E80" s="176"/>
      <c r="F80" s="177"/>
      <c r="G80" s="176"/>
      <c r="H80" s="177"/>
      <c r="I80" s="176"/>
      <c r="J80" s="176"/>
      <c r="K80" s="176"/>
      <c r="L80" s="176"/>
      <c r="M80" s="177"/>
      <c r="N80" s="176"/>
      <c r="O80" s="178"/>
      <c r="P80" s="6"/>
      <c r="Q80" s="6"/>
      <c r="R80" s="6"/>
      <c r="S80" s="6"/>
      <c r="T80" s="7"/>
      <c r="U80" s="6"/>
      <c r="V80" s="7"/>
      <c r="W80" s="8"/>
      <c r="X80" s="8"/>
      <c r="Y80" s="8"/>
      <c r="Z80" s="8"/>
      <c r="AA80" s="8"/>
      <c r="AB80" s="8"/>
      <c r="AC80" s="8"/>
      <c r="AD80" s="8"/>
      <c r="AE80" s="8"/>
      <c r="AF80" s="8"/>
    </row>
    <row x14ac:dyDescent="0.25" r="81" customHeight="1" ht="16" customFormat="1" s="1">
      <c r="A81" s="175"/>
      <c r="B81" s="176"/>
      <c r="C81" s="176"/>
      <c r="D81" s="176"/>
      <c r="E81" s="176"/>
      <c r="F81" s="177"/>
      <c r="G81" s="176"/>
      <c r="H81" s="177"/>
      <c r="I81" s="176"/>
      <c r="J81" s="176"/>
      <c r="K81" s="176"/>
      <c r="L81" s="176"/>
      <c r="M81" s="177"/>
      <c r="N81" s="176"/>
      <c r="O81" s="178"/>
      <c r="P81" s="6"/>
      <c r="Q81" s="6"/>
      <c r="R81" s="6"/>
      <c r="S81" s="6"/>
      <c r="T81" s="7"/>
      <c r="U81" s="6"/>
      <c r="V81" s="7"/>
      <c r="W81" s="8"/>
      <c r="X81" s="8"/>
      <c r="Y81" s="8"/>
      <c r="Z81" s="8"/>
      <c r="AA81" s="8"/>
      <c r="AB81" s="8"/>
      <c r="AC81" s="8"/>
      <c r="AD81" s="8"/>
      <c r="AE81" s="8"/>
      <c r="AF81" s="8"/>
    </row>
    <row x14ac:dyDescent="0.25" r="82" customHeight="1" ht="16" customFormat="1" s="1">
      <c r="A82" s="175"/>
      <c r="B82" s="176"/>
      <c r="C82" s="176"/>
      <c r="D82" s="176"/>
      <c r="E82" s="176"/>
      <c r="F82" s="177"/>
      <c r="G82" s="176"/>
      <c r="H82" s="177"/>
      <c r="I82" s="176"/>
      <c r="J82" s="176"/>
      <c r="K82" s="176"/>
      <c r="L82" s="176"/>
      <c r="M82" s="177"/>
      <c r="N82" s="176"/>
      <c r="O82" s="178"/>
      <c r="P82" s="6"/>
      <c r="Q82" s="6"/>
      <c r="R82" s="6"/>
      <c r="S82" s="6"/>
      <c r="T82" s="7"/>
      <c r="U82" s="6"/>
      <c r="V82" s="7"/>
      <c r="W82" s="8"/>
      <c r="X82" s="8"/>
      <c r="Y82" s="8"/>
      <c r="Z82" s="8"/>
      <c r="AA82" s="8"/>
      <c r="AB82" s="8"/>
      <c r="AC82" s="8"/>
      <c r="AD82" s="8"/>
      <c r="AE82" s="8"/>
      <c r="AF82" s="8"/>
    </row>
    <row x14ac:dyDescent="0.25" r="83" customHeight="1" ht="16" customFormat="1" s="1">
      <c r="A83" s="175"/>
      <c r="B83" s="176"/>
      <c r="C83" s="176"/>
      <c r="D83" s="176"/>
      <c r="E83" s="176"/>
      <c r="F83" s="177"/>
      <c r="G83" s="176"/>
      <c r="H83" s="177"/>
      <c r="I83" s="176"/>
      <c r="J83" s="176"/>
      <c r="K83" s="176"/>
      <c r="L83" s="176"/>
      <c r="M83" s="177"/>
      <c r="N83" s="176"/>
      <c r="O83" s="178"/>
      <c r="P83" s="6"/>
      <c r="Q83" s="6"/>
      <c r="R83" s="6"/>
      <c r="S83" s="6"/>
      <c r="T83" s="7"/>
      <c r="U83" s="6"/>
      <c r="V83" s="7"/>
      <c r="W83" s="8"/>
      <c r="X83" s="8"/>
      <c r="Y83" s="8"/>
      <c r="Z83" s="8"/>
      <c r="AA83" s="8"/>
      <c r="AB83" s="8"/>
      <c r="AC83" s="8"/>
      <c r="AD83" s="8"/>
      <c r="AE83" s="8"/>
      <c r="AF83" s="8"/>
    </row>
    <row x14ac:dyDescent="0.25" r="84" customHeight="1" ht="16" customFormat="1" s="1">
      <c r="A84" s="175"/>
      <c r="B84" s="176"/>
      <c r="C84" s="176"/>
      <c r="D84" s="176"/>
      <c r="E84" s="176"/>
      <c r="F84" s="177"/>
      <c r="G84" s="176"/>
      <c r="H84" s="177"/>
      <c r="I84" s="176"/>
      <c r="J84" s="176"/>
      <c r="K84" s="176"/>
      <c r="L84" s="176"/>
      <c r="M84" s="177"/>
      <c r="N84" s="176"/>
      <c r="O84" s="178"/>
      <c r="P84" s="6"/>
      <c r="Q84" s="6"/>
      <c r="R84" s="6"/>
      <c r="S84" s="6"/>
      <c r="T84" s="7"/>
      <c r="U84" s="6"/>
      <c r="V84" s="7"/>
      <c r="W84" s="8"/>
      <c r="X84" s="8"/>
      <c r="Y84" s="8"/>
      <c r="Z84" s="8"/>
      <c r="AA84" s="8"/>
      <c r="AB84" s="8"/>
      <c r="AC84" s="8"/>
      <c r="AD84" s="8"/>
      <c r="AE84" s="8"/>
      <c r="AF84" s="8"/>
    </row>
    <row x14ac:dyDescent="0.25" r="85" customHeight="1" ht="17" customFormat="1" s="1">
      <c r="A85" s="175"/>
      <c r="B85" s="176"/>
      <c r="C85" s="176"/>
      <c r="D85" s="176"/>
      <c r="E85" s="176"/>
      <c r="F85" s="177"/>
      <c r="G85" s="176"/>
      <c r="H85" s="177"/>
      <c r="I85" s="176"/>
      <c r="J85" s="176"/>
      <c r="K85" s="176"/>
      <c r="L85" s="176"/>
      <c r="M85" s="177"/>
      <c r="N85" s="176"/>
      <c r="O85" s="178"/>
      <c r="P85" s="6"/>
      <c r="Q85" s="6"/>
      <c r="R85" s="6"/>
      <c r="S85" s="6"/>
      <c r="T85" s="7"/>
      <c r="U85" s="6"/>
      <c r="V85" s="7"/>
      <c r="W85" s="8"/>
      <c r="X85" s="8"/>
      <c r="Y85" s="8"/>
      <c r="Z85" s="8"/>
      <c r="AA85" s="8"/>
      <c r="AB85" s="8"/>
      <c r="AC85" s="8"/>
      <c r="AD85" s="8"/>
      <c r="AE85" s="8"/>
      <c r="AF85" s="8"/>
    </row>
    <row x14ac:dyDescent="0.25" r="86" customHeight="1" ht="16" customFormat="1" s="1">
      <c r="A86" s="175"/>
      <c r="B86" s="176"/>
      <c r="C86" s="176"/>
      <c r="D86" s="176"/>
      <c r="E86" s="176"/>
      <c r="F86" s="177"/>
      <c r="G86" s="176"/>
      <c r="H86" s="177"/>
      <c r="I86" s="176"/>
      <c r="J86" s="176"/>
      <c r="K86" s="176"/>
      <c r="L86" s="176"/>
      <c r="M86" s="177"/>
      <c r="N86" s="176"/>
      <c r="O86" s="178"/>
      <c r="P86" s="6"/>
      <c r="Q86" s="6"/>
      <c r="R86" s="6"/>
      <c r="S86" s="6"/>
      <c r="T86" s="7"/>
      <c r="U86" s="6"/>
      <c r="V86" s="7"/>
      <c r="W86" s="8"/>
      <c r="X86" s="8"/>
      <c r="Y86" s="8"/>
      <c r="Z86" s="8"/>
      <c r="AA86" s="8"/>
      <c r="AB86" s="8"/>
      <c r="AC86" s="8"/>
      <c r="AD86" s="8"/>
      <c r="AE86" s="8"/>
      <c r="AF86" s="8"/>
    </row>
    <row x14ac:dyDescent="0.25" r="87" customHeight="1" ht="16" customFormat="1" s="1">
      <c r="A87" s="175"/>
      <c r="B87" s="176"/>
      <c r="C87" s="176"/>
      <c r="D87" s="176"/>
      <c r="E87" s="176"/>
      <c r="F87" s="177"/>
      <c r="G87" s="176"/>
      <c r="H87" s="177"/>
      <c r="I87" s="176"/>
      <c r="J87" s="176"/>
      <c r="K87" s="176"/>
      <c r="L87" s="176"/>
      <c r="M87" s="177"/>
      <c r="N87" s="176"/>
      <c r="O87" s="178"/>
      <c r="P87" s="6"/>
      <c r="Q87" s="6"/>
      <c r="R87" s="6"/>
      <c r="S87" s="6"/>
      <c r="T87" s="7"/>
      <c r="U87" s="6"/>
      <c r="V87" s="7"/>
      <c r="W87" s="8"/>
      <c r="X87" s="8"/>
      <c r="Y87" s="8"/>
      <c r="Z87" s="8"/>
      <c r="AA87" s="8"/>
      <c r="AB87" s="8"/>
      <c r="AC87" s="8"/>
      <c r="AD87" s="8"/>
      <c r="AE87" s="8"/>
      <c r="AF87" s="8"/>
    </row>
    <row x14ac:dyDescent="0.25" r="88" customHeight="1" ht="17" customFormat="1" s="1">
      <c r="A88" s="175"/>
      <c r="B88" s="176"/>
      <c r="C88" s="176"/>
      <c r="D88" s="176"/>
      <c r="E88" s="176"/>
      <c r="F88" s="177"/>
      <c r="G88" s="176"/>
      <c r="H88" s="177"/>
      <c r="I88" s="176"/>
      <c r="J88" s="176"/>
      <c r="K88" s="176"/>
      <c r="L88" s="176"/>
      <c r="M88" s="177"/>
      <c r="N88" s="176"/>
      <c r="O88" s="178"/>
      <c r="P88" s="6"/>
      <c r="Q88" s="6"/>
      <c r="R88" s="6"/>
      <c r="S88" s="6"/>
      <c r="T88" s="7"/>
      <c r="U88" s="6"/>
      <c r="V88" s="7"/>
      <c r="W88" s="8"/>
      <c r="X88" s="8"/>
      <c r="Y88" s="8"/>
      <c r="Z88" s="8"/>
      <c r="AA88" s="8"/>
      <c r="AB88" s="8"/>
      <c r="AC88" s="8"/>
      <c r="AD88" s="8"/>
      <c r="AE88" s="8"/>
      <c r="AF88" s="8"/>
    </row>
    <row x14ac:dyDescent="0.25" r="89" customHeight="1" ht="16.5" customFormat="1" s="1">
      <c r="A89" s="175"/>
      <c r="B89" s="176"/>
      <c r="C89" s="176"/>
      <c r="D89" s="176"/>
      <c r="E89" s="176"/>
      <c r="F89" s="177"/>
      <c r="G89" s="176"/>
      <c r="H89" s="177"/>
      <c r="I89" s="176"/>
      <c r="J89" s="176"/>
      <c r="K89" s="176"/>
      <c r="L89" s="176"/>
      <c r="M89" s="177"/>
      <c r="N89" s="176"/>
      <c r="O89" s="178"/>
      <c r="P89" s="6"/>
      <c r="Q89" s="6"/>
      <c r="R89" s="6"/>
      <c r="S89" s="6"/>
      <c r="T89" s="7"/>
      <c r="U89" s="6"/>
      <c r="V89" s="7"/>
      <c r="W89" s="8"/>
      <c r="X89" s="8"/>
      <c r="Y89" s="8"/>
      <c r="Z89" s="8"/>
      <c r="AA89" s="8"/>
      <c r="AB89" s="8"/>
      <c r="AC89" s="8"/>
      <c r="AD89" s="8"/>
      <c r="AE89" s="8"/>
      <c r="AF89" s="8"/>
    </row>
    <row x14ac:dyDescent="0.25" r="90" customHeight="1" ht="58" customFormat="1" s="1">
      <c r="A90" s="179"/>
      <c r="B90" s="180"/>
      <c r="C90" s="180"/>
      <c r="D90" s="180"/>
      <c r="E90" s="180"/>
      <c r="F90" s="181"/>
      <c r="G90" s="180"/>
      <c r="H90" s="181"/>
      <c r="I90" s="180"/>
      <c r="J90" s="180"/>
      <c r="K90" s="180"/>
      <c r="L90" s="180"/>
      <c r="M90" s="181"/>
      <c r="N90" s="180"/>
      <c r="O90" s="182"/>
      <c r="P90" s="6"/>
      <c r="Q90" s="6"/>
      <c r="R90" s="6"/>
      <c r="S90" s="6"/>
      <c r="T90" s="7"/>
      <c r="U90" s="6"/>
      <c r="V90" s="7"/>
      <c r="W90" s="8"/>
      <c r="X90" s="8"/>
      <c r="Y90" s="8"/>
      <c r="Z90" s="8"/>
      <c r="AA90" s="8"/>
      <c r="AB90" s="8"/>
      <c r="AC90" s="8"/>
      <c r="AD90" s="8"/>
      <c r="AE90" s="8"/>
      <c r="AF90" s="8"/>
    </row>
    <row x14ac:dyDescent="0.25" r="91" customHeight="1" ht="16.5">
      <c r="A91" s="12"/>
      <c r="B91" s="11"/>
      <c r="C91" s="11"/>
      <c r="D91" s="11"/>
      <c r="E91" s="11"/>
      <c r="F91" s="12"/>
      <c r="G91" s="11"/>
      <c r="H91" s="12"/>
      <c r="I91" s="13"/>
      <c r="J91" s="13"/>
      <c r="K91" s="13"/>
      <c r="L91" s="13"/>
      <c r="M91" s="14"/>
      <c r="N91" s="13"/>
      <c r="O91" s="14"/>
      <c r="P91" s="13"/>
      <c r="Q91" s="13"/>
      <c r="R91" s="13"/>
      <c r="S91" s="13"/>
      <c r="T91" s="14"/>
      <c r="U91" s="13"/>
      <c r="V91" s="14"/>
      <c r="W91" s="15"/>
      <c r="X91" s="15"/>
      <c r="Y91" s="15"/>
      <c r="Z91" s="15"/>
      <c r="AA91" s="15"/>
      <c r="AB91" s="15"/>
      <c r="AC91" s="15"/>
      <c r="AD91" s="15"/>
      <c r="AE91" s="15"/>
      <c r="AF91" s="15"/>
    </row>
    <row x14ac:dyDescent="0.25" r="92" customHeight="1" ht="16.5">
      <c r="A92" s="12"/>
      <c r="B92" s="11"/>
      <c r="C92" s="11"/>
      <c r="D92" s="11"/>
      <c r="E92" s="11"/>
      <c r="F92" s="12"/>
      <c r="G92" s="11"/>
      <c r="H92" s="12"/>
      <c r="I92" s="13"/>
      <c r="J92" s="13"/>
      <c r="K92" s="13"/>
      <c r="L92" s="13"/>
      <c r="M92" s="14"/>
      <c r="N92" s="13"/>
      <c r="O92" s="14"/>
      <c r="P92" s="13"/>
      <c r="Q92" s="13"/>
      <c r="R92" s="13"/>
      <c r="S92" s="13"/>
      <c r="T92" s="14"/>
      <c r="U92" s="13"/>
      <c r="V92" s="14"/>
      <c r="W92" s="15"/>
      <c r="X92" s="15"/>
      <c r="Y92" s="15"/>
      <c r="Z92" s="15"/>
      <c r="AA92" s="15"/>
      <c r="AB92" s="15"/>
      <c r="AC92" s="15"/>
      <c r="AD92" s="15"/>
      <c r="AE92" s="15"/>
      <c r="AF92" s="15"/>
    </row>
    <row x14ac:dyDescent="0.25" r="93" customHeight="1" ht="16.5">
      <c r="A93" s="12"/>
      <c r="B93" s="11"/>
      <c r="C93" s="11"/>
      <c r="D93" s="11"/>
      <c r="E93" s="11"/>
      <c r="F93" s="12"/>
      <c r="G93" s="11"/>
      <c r="H93" s="12"/>
      <c r="I93" s="13"/>
      <c r="J93" s="13"/>
      <c r="K93" s="13"/>
      <c r="L93" s="13"/>
      <c r="M93" s="14"/>
      <c r="N93" s="13"/>
      <c r="O93" s="14"/>
      <c r="P93" s="13"/>
      <c r="Q93" s="13"/>
      <c r="R93" s="13"/>
      <c r="S93" s="13"/>
      <c r="T93" s="14"/>
      <c r="U93" s="13"/>
      <c r="V93" s="14"/>
      <c r="W93" s="15"/>
      <c r="X93" s="15"/>
      <c r="Y93" s="15"/>
      <c r="Z93" s="15"/>
      <c r="AA93" s="15"/>
      <c r="AB93" s="15"/>
      <c r="AC93" s="15"/>
      <c r="AD93" s="15"/>
      <c r="AE93" s="15"/>
      <c r="AF93" s="15"/>
    </row>
    <row x14ac:dyDescent="0.25" r="94" customHeight="1" ht="16.5">
      <c r="A94" s="12"/>
      <c r="B94" s="11"/>
      <c r="C94" s="11"/>
      <c r="D94" s="11"/>
      <c r="E94" s="11"/>
      <c r="F94" s="12"/>
      <c r="G94" s="11"/>
      <c r="H94" s="12"/>
      <c r="I94" s="13"/>
      <c r="J94" s="13"/>
      <c r="K94" s="13"/>
      <c r="L94" s="13"/>
      <c r="M94" s="14"/>
      <c r="N94" s="13"/>
      <c r="O94" s="14"/>
      <c r="P94" s="13"/>
      <c r="Q94" s="13"/>
      <c r="R94" s="13"/>
      <c r="S94" s="13"/>
      <c r="T94" s="14"/>
      <c r="U94" s="13"/>
      <c r="V94" s="14"/>
      <c r="W94" s="15"/>
      <c r="X94" s="15"/>
      <c r="Y94" s="15"/>
      <c r="Z94" s="15"/>
      <c r="AA94" s="15"/>
      <c r="AB94" s="15"/>
      <c r="AC94" s="15"/>
      <c r="AD94" s="15"/>
      <c r="AE94" s="15"/>
      <c r="AF94" s="15"/>
    </row>
    <row x14ac:dyDescent="0.25" r="95" customHeight="1" ht="16.5">
      <c r="A95" s="12"/>
      <c r="B95" s="11"/>
      <c r="C95" s="11"/>
      <c r="D95" s="11"/>
      <c r="E95" s="11"/>
      <c r="F95" s="12"/>
      <c r="G95" s="11"/>
      <c r="H95" s="12"/>
      <c r="I95" s="13"/>
      <c r="J95" s="13"/>
      <c r="K95" s="13"/>
      <c r="L95" s="13"/>
      <c r="M95" s="14"/>
      <c r="N95" s="13"/>
      <c r="O95" s="14"/>
      <c r="P95" s="13"/>
      <c r="Q95" s="13"/>
      <c r="R95" s="13"/>
      <c r="S95" s="13"/>
      <c r="T95" s="14"/>
      <c r="U95" s="13"/>
      <c r="V95" s="14"/>
      <c r="W95" s="15"/>
      <c r="X95" s="15"/>
      <c r="Y95" s="15"/>
      <c r="Z95" s="15"/>
      <c r="AA95" s="15"/>
      <c r="AB95" s="15"/>
      <c r="AC95" s="15"/>
      <c r="AD95" s="15"/>
      <c r="AE95" s="15"/>
      <c r="AF95" s="15"/>
    </row>
    <row x14ac:dyDescent="0.25" r="96" customHeight="1" ht="16.5">
      <c r="A96" s="183" t="s">
        <v>109</v>
      </c>
      <c r="B96" s="132"/>
      <c r="C96" s="132"/>
      <c r="D96" s="132"/>
      <c r="E96" s="11"/>
      <c r="F96" s="12"/>
      <c r="G96" s="11"/>
      <c r="H96" s="12"/>
      <c r="I96" s="13"/>
      <c r="J96" s="13"/>
      <c r="K96" s="13"/>
      <c r="L96" s="13"/>
      <c r="M96" s="14"/>
      <c r="N96" s="13"/>
      <c r="O96" s="14"/>
      <c r="P96" s="13"/>
      <c r="Q96" s="13"/>
      <c r="R96" s="13"/>
      <c r="S96" s="13"/>
      <c r="T96" s="14"/>
      <c r="U96" s="13"/>
      <c r="V96" s="14"/>
      <c r="W96" s="15"/>
      <c r="X96" s="15"/>
      <c r="Y96" s="15"/>
      <c r="Z96" s="15"/>
      <c r="AA96" s="15"/>
      <c r="AB96" s="15"/>
      <c r="AC96" s="15"/>
      <c r="AD96" s="15"/>
      <c r="AE96" s="15"/>
      <c r="AF96" s="15"/>
    </row>
    <row x14ac:dyDescent="0.25" r="97" customHeight="1" ht="72" customFormat="1" s="1">
      <c r="A97" s="184" t="s">
        <v>110</v>
      </c>
      <c r="B97" s="185" t="s">
        <v>111</v>
      </c>
      <c r="C97" s="185"/>
      <c r="D97" s="185"/>
      <c r="E97" s="185"/>
      <c r="F97" s="185"/>
      <c r="G97" s="185"/>
      <c r="H97" s="185"/>
      <c r="I97" s="6"/>
      <c r="J97" s="6"/>
      <c r="K97" s="6"/>
      <c r="L97" s="6"/>
      <c r="M97" s="7"/>
      <c r="N97" s="6"/>
      <c r="O97" s="7"/>
      <c r="P97" s="6"/>
      <c r="Q97" s="6"/>
      <c r="R97" s="6"/>
      <c r="S97" s="6"/>
      <c r="T97" s="7"/>
      <c r="U97" s="6"/>
      <c r="V97" s="7"/>
      <c r="W97" s="8"/>
      <c r="X97" s="8"/>
      <c r="Y97" s="8"/>
      <c r="Z97" s="8"/>
      <c r="AA97" s="8"/>
      <c r="AB97" s="8"/>
      <c r="AC97" s="8"/>
      <c r="AD97" s="8"/>
      <c r="AE97" s="8"/>
      <c r="AF97" s="8"/>
    </row>
    <row x14ac:dyDescent="0.25" r="98" customHeight="1" ht="65" customFormat="1" s="1">
      <c r="A98" s="184" t="s">
        <v>192</v>
      </c>
      <c r="B98" s="185" t="s">
        <v>113</v>
      </c>
      <c r="C98" s="185"/>
      <c r="D98" s="185"/>
      <c r="E98" s="185"/>
      <c r="F98" s="185"/>
      <c r="G98" s="185"/>
      <c r="H98" s="185"/>
      <c r="I98" s="6"/>
      <c r="J98" s="6"/>
      <c r="K98" s="6"/>
      <c r="L98" s="6"/>
      <c r="M98" s="7"/>
      <c r="N98" s="6"/>
      <c r="O98" s="7"/>
      <c r="P98" s="6"/>
      <c r="Q98" s="6"/>
      <c r="R98" s="6"/>
      <c r="S98" s="6"/>
      <c r="T98" s="7"/>
      <c r="U98" s="6"/>
      <c r="V98" s="7"/>
      <c r="W98" s="8"/>
      <c r="X98" s="8"/>
      <c r="Y98" s="8"/>
      <c r="Z98" s="8"/>
      <c r="AA98" s="8"/>
      <c r="AB98" s="8"/>
      <c r="AC98" s="8"/>
      <c r="AD98" s="8"/>
      <c r="AE98" s="8"/>
      <c r="AF98" s="8"/>
    </row>
    <row x14ac:dyDescent="0.25" r="99" customHeight="1" ht="67" customFormat="1" s="1">
      <c r="A99" s="184" t="s">
        <v>193</v>
      </c>
      <c r="B99" s="185" t="s">
        <v>115</v>
      </c>
      <c r="C99" s="185"/>
      <c r="D99" s="185"/>
      <c r="E99" s="185"/>
      <c r="F99" s="185"/>
      <c r="G99" s="185"/>
      <c r="H99" s="185"/>
      <c r="I99" s="6"/>
      <c r="J99" s="6"/>
      <c r="K99" s="6"/>
      <c r="L99" s="6"/>
      <c r="M99" s="7"/>
      <c r="N99" s="6"/>
      <c r="O99" s="7"/>
      <c r="P99" s="6"/>
      <c r="Q99" s="6"/>
      <c r="R99" s="6"/>
      <c r="S99" s="6"/>
      <c r="T99" s="7"/>
      <c r="U99" s="6"/>
      <c r="V99" s="7"/>
      <c r="W99" s="8"/>
      <c r="X99" s="8"/>
      <c r="Y99" s="8"/>
      <c r="Z99" s="8"/>
      <c r="AA99" s="8"/>
      <c r="AB99" s="8"/>
      <c r="AC99" s="8"/>
      <c r="AD99" s="8"/>
      <c r="AE99" s="8"/>
      <c r="AF99" s="8"/>
    </row>
    <row x14ac:dyDescent="0.25" r="100" customHeight="1" ht="76" customFormat="1" s="1">
      <c r="A100" s="184" t="s">
        <v>116</v>
      </c>
      <c r="B100" s="185" t="s">
        <v>117</v>
      </c>
      <c r="C100" s="185"/>
      <c r="D100" s="185"/>
      <c r="E100" s="185"/>
      <c r="F100" s="185"/>
      <c r="G100" s="185"/>
      <c r="H100" s="185"/>
      <c r="I100" s="6"/>
      <c r="J100" s="6"/>
      <c r="K100" s="6"/>
      <c r="L100" s="6"/>
      <c r="M100" s="7"/>
      <c r="N100" s="6"/>
      <c r="O100" s="7"/>
      <c r="P100" s="6"/>
      <c r="Q100" s="6"/>
      <c r="R100" s="6"/>
      <c r="S100" s="6"/>
      <c r="T100" s="7"/>
      <c r="U100" s="6"/>
      <c r="V100" s="7"/>
      <c r="W100" s="8"/>
      <c r="X100" s="8"/>
      <c r="Y100" s="8"/>
      <c r="Z100" s="8"/>
      <c r="AA100" s="8"/>
      <c r="AB100" s="8"/>
      <c r="AC100" s="8"/>
      <c r="AD100" s="8"/>
      <c r="AE100" s="8"/>
      <c r="AF100" s="8"/>
    </row>
    <row x14ac:dyDescent="0.25" r="101" customHeight="1" ht="16.5">
      <c r="A101" s="12"/>
      <c r="B101" s="186"/>
      <c r="C101" s="186"/>
      <c r="D101" s="186"/>
      <c r="E101" s="11"/>
      <c r="F101" s="12"/>
      <c r="G101" s="11"/>
      <c r="H101" s="12"/>
      <c r="I101" s="13"/>
      <c r="J101" s="13"/>
      <c r="K101" s="13"/>
      <c r="L101" s="13"/>
      <c r="M101" s="14"/>
      <c r="N101" s="13"/>
      <c r="O101" s="14"/>
      <c r="P101" s="13"/>
      <c r="Q101" s="13"/>
      <c r="R101" s="13"/>
      <c r="S101" s="13"/>
      <c r="T101" s="14"/>
      <c r="U101" s="13"/>
      <c r="V101" s="14"/>
      <c r="W101" s="15"/>
      <c r="X101" s="15"/>
      <c r="Y101" s="15"/>
      <c r="Z101" s="15"/>
      <c r="AA101" s="15"/>
      <c r="AB101" s="15"/>
      <c r="AC101" s="15"/>
      <c r="AD101" s="15"/>
      <c r="AE101" s="15"/>
      <c r="AF101" s="15"/>
    </row>
    <row x14ac:dyDescent="0.25" r="102" customHeight="1" ht="16.5">
      <c r="A102" s="12"/>
      <c r="B102" s="186"/>
      <c r="C102" s="186"/>
      <c r="D102" s="186"/>
      <c r="E102" s="11"/>
      <c r="F102" s="12"/>
      <c r="G102" s="11"/>
      <c r="H102" s="12"/>
      <c r="I102" s="13"/>
      <c r="J102" s="13"/>
      <c r="K102" s="13"/>
      <c r="L102" s="13"/>
      <c r="M102" s="14"/>
      <c r="N102" s="13"/>
      <c r="O102" s="14"/>
      <c r="P102" s="13"/>
      <c r="Q102" s="13"/>
      <c r="R102" s="13"/>
      <c r="S102" s="13"/>
      <c r="T102" s="14"/>
      <c r="U102" s="13"/>
      <c r="V102" s="14"/>
      <c r="W102" s="15"/>
      <c r="X102" s="15"/>
      <c r="Y102" s="15"/>
      <c r="Z102" s="15"/>
      <c r="AA102" s="15"/>
      <c r="AB102" s="15"/>
      <c r="AC102" s="15"/>
      <c r="AD102" s="15"/>
      <c r="AE102" s="15"/>
      <c r="AF102" s="15"/>
    </row>
    <row x14ac:dyDescent="0.25" r="103" customHeight="1" ht="16.5">
      <c r="A103" s="12"/>
      <c r="B103" s="186"/>
      <c r="C103" s="186"/>
      <c r="D103" s="186"/>
      <c r="E103" s="11"/>
      <c r="F103" s="12"/>
      <c r="G103" s="11"/>
      <c r="H103" s="12"/>
      <c r="I103" s="13"/>
      <c r="J103" s="13"/>
      <c r="K103" s="13"/>
      <c r="L103" s="13"/>
      <c r="M103" s="14"/>
      <c r="N103" s="13"/>
      <c r="O103" s="14"/>
      <c r="P103" s="13"/>
      <c r="Q103" s="13"/>
      <c r="R103" s="13"/>
      <c r="S103" s="13"/>
      <c r="T103" s="14"/>
      <c r="U103" s="13"/>
      <c r="V103" s="14"/>
      <c r="W103" s="15"/>
      <c r="X103" s="15"/>
      <c r="Y103" s="15"/>
      <c r="Z103" s="15"/>
      <c r="AA103" s="15"/>
      <c r="AB103" s="15"/>
      <c r="AC103" s="15"/>
      <c r="AD103" s="15"/>
      <c r="AE103" s="15"/>
      <c r="AF103" s="15"/>
    </row>
    <row x14ac:dyDescent="0.25" r="104" customHeight="1" ht="16.5">
      <c r="A104" s="183" t="s">
        <v>118</v>
      </c>
      <c r="B104" s="186"/>
      <c r="C104" s="186"/>
      <c r="D104" s="186"/>
      <c r="E104" s="11"/>
      <c r="F104" s="12"/>
      <c r="G104" s="11"/>
      <c r="H104" s="12"/>
      <c r="I104" s="13"/>
      <c r="J104" s="13"/>
      <c r="K104" s="13"/>
      <c r="L104" s="13"/>
      <c r="M104" s="14"/>
      <c r="N104" s="13"/>
      <c r="O104" s="14"/>
      <c r="P104" s="13"/>
      <c r="Q104" s="13"/>
      <c r="R104" s="13"/>
      <c r="S104" s="13"/>
      <c r="T104" s="14"/>
      <c r="U104" s="13"/>
      <c r="V104" s="14"/>
      <c r="W104" s="15"/>
      <c r="X104" s="15"/>
      <c r="Y104" s="15"/>
      <c r="Z104" s="15"/>
      <c r="AA104" s="15"/>
      <c r="AB104" s="15"/>
      <c r="AC104" s="15"/>
      <c r="AD104" s="15"/>
      <c r="AE104" s="15"/>
      <c r="AF104" s="15"/>
    </row>
    <row x14ac:dyDescent="0.25" r="105" customHeight="1" ht="51">
      <c r="A105" s="187" t="s">
        <v>193</v>
      </c>
      <c r="B105" s="185" t="s">
        <v>194</v>
      </c>
      <c r="C105" s="185"/>
      <c r="D105" s="185"/>
      <c r="E105" s="185"/>
      <c r="F105" s="185"/>
      <c r="G105" s="185"/>
      <c r="H105" s="185"/>
      <c r="I105" s="13"/>
      <c r="J105" s="13"/>
      <c r="K105" s="13"/>
      <c r="L105" s="13"/>
      <c r="M105" s="14"/>
      <c r="N105" s="13"/>
      <c r="O105" s="14"/>
      <c r="P105" s="13"/>
      <c r="Q105" s="13"/>
      <c r="R105" s="13"/>
      <c r="S105" s="13"/>
      <c r="T105" s="14"/>
      <c r="U105" s="13"/>
      <c r="V105" s="14"/>
      <c r="W105" s="15"/>
      <c r="X105" s="15"/>
      <c r="Y105" s="15"/>
      <c r="Z105" s="15"/>
      <c r="AA105" s="15"/>
      <c r="AB105" s="15"/>
      <c r="AC105" s="15"/>
      <c r="AD105" s="15"/>
      <c r="AE105" s="15"/>
      <c r="AF105" s="15"/>
    </row>
    <row x14ac:dyDescent="0.25" r="106" customHeight="1" ht="52">
      <c r="A106" s="187" t="s">
        <v>195</v>
      </c>
      <c r="B106" s="188" t="s">
        <v>196</v>
      </c>
      <c r="C106" s="188"/>
      <c r="D106" s="188"/>
      <c r="E106" s="188"/>
      <c r="F106" s="188"/>
      <c r="G106" s="188"/>
      <c r="H106" s="188"/>
      <c r="I106" s="13"/>
      <c r="J106" s="13"/>
      <c r="K106" s="13"/>
      <c r="L106" s="13"/>
      <c r="M106" s="14"/>
      <c r="N106" s="13"/>
      <c r="O106" s="14"/>
      <c r="P106" s="13"/>
      <c r="Q106" s="13"/>
      <c r="R106" s="13"/>
      <c r="S106" s="13"/>
      <c r="T106" s="14"/>
      <c r="U106" s="13"/>
      <c r="V106" s="14"/>
      <c r="W106" s="15"/>
      <c r="X106" s="15"/>
      <c r="Y106" s="15"/>
      <c r="Z106" s="15"/>
      <c r="AA106" s="15"/>
      <c r="AB106" s="15"/>
      <c r="AC106" s="15"/>
      <c r="AD106" s="15"/>
      <c r="AE106" s="15"/>
      <c r="AF106" s="15"/>
    </row>
    <row x14ac:dyDescent="0.25" r="107" customHeight="1" ht="55">
      <c r="A107" s="187" t="s">
        <v>197</v>
      </c>
      <c r="B107" s="188" t="s">
        <v>123</v>
      </c>
      <c r="C107" s="188"/>
      <c r="D107" s="188"/>
      <c r="E107" s="188"/>
      <c r="F107" s="188"/>
      <c r="G107" s="188"/>
      <c r="H107" s="188"/>
      <c r="I107" s="13"/>
      <c r="J107" s="13"/>
      <c r="K107" s="13"/>
      <c r="L107" s="13"/>
      <c r="M107" s="14"/>
      <c r="N107" s="13"/>
      <c r="O107" s="14"/>
      <c r="P107" s="13"/>
      <c r="Q107" s="13"/>
      <c r="R107" s="13"/>
      <c r="S107" s="13"/>
      <c r="T107" s="14"/>
      <c r="U107" s="13"/>
      <c r="V107" s="14"/>
      <c r="W107" s="15"/>
      <c r="X107" s="15"/>
      <c r="Y107" s="15"/>
      <c r="Z107" s="15"/>
      <c r="AA107" s="15"/>
      <c r="AB107" s="15"/>
      <c r="AC107" s="15"/>
      <c r="AD107" s="15"/>
      <c r="AE107" s="15"/>
      <c r="AF107" s="15"/>
    </row>
  </sheetData>
  <mergeCells count="49">
    <mergeCell ref="B1:D1"/>
    <mergeCell ref="B2:D2"/>
    <mergeCell ref="B3:D3"/>
    <mergeCell ref="B4:D4"/>
    <mergeCell ref="B5:D5"/>
    <mergeCell ref="B6:D6"/>
    <mergeCell ref="B7:D7"/>
    <mergeCell ref="A9:AF9"/>
    <mergeCell ref="B11:H11"/>
    <mergeCell ref="I11:O11"/>
    <mergeCell ref="P11:V11"/>
    <mergeCell ref="W11:AA11"/>
    <mergeCell ref="AB11:AF11"/>
    <mergeCell ref="B20:H20"/>
    <mergeCell ref="I20:O20"/>
    <mergeCell ref="P20:V20"/>
    <mergeCell ref="W20:AA20"/>
    <mergeCell ref="AB20:AF20"/>
    <mergeCell ref="B30:H30"/>
    <mergeCell ref="I30:O30"/>
    <mergeCell ref="P30:V30"/>
    <mergeCell ref="W30:AA30"/>
    <mergeCell ref="AB30:AF30"/>
    <mergeCell ref="A42:AF42"/>
    <mergeCell ref="B44:H44"/>
    <mergeCell ref="I44:O44"/>
    <mergeCell ref="P44:V44"/>
    <mergeCell ref="W44:AA44"/>
    <mergeCell ref="AB44:AF44"/>
    <mergeCell ref="B53:H53"/>
    <mergeCell ref="I53:O53"/>
    <mergeCell ref="P53:V53"/>
    <mergeCell ref="W53:AA53"/>
    <mergeCell ref="AB53:AF53"/>
    <mergeCell ref="B63:H63"/>
    <mergeCell ref="I63:O63"/>
    <mergeCell ref="P63:V63"/>
    <mergeCell ref="W63:AA63"/>
    <mergeCell ref="AB63:AF63"/>
    <mergeCell ref="A73:G74"/>
    <mergeCell ref="A75:O90"/>
    <mergeCell ref="B96:D96"/>
    <mergeCell ref="B97:H97"/>
    <mergeCell ref="B98:H98"/>
    <mergeCell ref="B99:H99"/>
    <mergeCell ref="B100:H100"/>
    <mergeCell ref="B105:H105"/>
    <mergeCell ref="B106:H106"/>
    <mergeCell ref="B107:H107"/>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AF111"/>
  <sheetViews>
    <sheetView workbookViewId="0"/>
  </sheetViews>
  <sheetFormatPr defaultRowHeight="15" x14ac:dyDescent="0.25"/>
  <cols>
    <col min="1" max="1" style="189" width="26.862142857142857" customWidth="1" bestFit="1"/>
    <col min="2" max="2" style="190" width="9.862142857142858" customWidth="1" bestFit="1"/>
    <col min="3" max="3" style="190" width="10.290714285714287" customWidth="1" bestFit="1"/>
    <col min="4" max="4" style="190" width="10.719285714285713" customWidth="1" bestFit="1"/>
    <col min="5" max="5" style="190" width="10.290714285714287" customWidth="1" bestFit="1"/>
    <col min="6" max="6" style="190" width="10.290714285714287" customWidth="1" bestFit="1"/>
    <col min="7" max="7" style="190" width="11.290714285714287" customWidth="1" bestFit="1"/>
    <col min="8" max="8" style="191" width="48.005" customWidth="1" bestFit="1"/>
    <col min="9" max="9" style="192" width="11.862142857142858" customWidth="1" bestFit="1"/>
    <col min="10" max="10" style="192" width="11.862142857142858" customWidth="1" bestFit="1"/>
    <col min="11" max="11" style="192" width="11.862142857142858" customWidth="1" bestFit="1"/>
    <col min="12" max="12" style="192" width="11.862142857142858" customWidth="1" bestFit="1"/>
    <col min="13" max="13" style="192" width="11.862142857142858" customWidth="1" bestFit="1"/>
    <col min="14" max="14" style="192" width="11.862142857142858" customWidth="1" bestFit="1"/>
    <col min="15" max="15" style="189" width="48.29071428571429" customWidth="1" bestFit="1"/>
    <col min="16" max="16" style="192" width="11.862142857142858" customWidth="1" bestFit="1"/>
    <col min="17" max="17" style="192" width="11.862142857142858" customWidth="1" bestFit="1"/>
    <col min="18" max="18" style="192" width="11.862142857142858" customWidth="1" bestFit="1"/>
    <col min="19" max="19" style="192" width="11.862142857142858" customWidth="1" bestFit="1"/>
    <col min="20" max="20" style="192" width="11.862142857142858" customWidth="1" bestFit="1"/>
    <col min="21" max="21" style="192" width="11.862142857142858" customWidth="1" bestFit="1"/>
    <col min="22" max="22" style="189" width="43.86214285714286" customWidth="1" bestFit="1"/>
    <col min="23" max="23" style="193" width="11.862142857142858" customWidth="1" bestFit="1"/>
    <col min="24" max="24" style="193" width="11.862142857142858" customWidth="1" bestFit="1"/>
    <col min="25" max="25" style="193" width="11.862142857142858" customWidth="1" bestFit="1"/>
    <col min="26" max="26" style="193" width="11.862142857142858" customWidth="1" bestFit="1"/>
    <col min="27" max="27" style="193" width="11.862142857142858" customWidth="1" bestFit="1"/>
    <col min="28" max="28" style="193" width="11.862142857142858" customWidth="1" bestFit="1"/>
    <col min="29" max="29" style="193" width="11.862142857142858" customWidth="1" bestFit="1"/>
    <col min="30" max="30" style="193" width="11.862142857142858" customWidth="1" bestFit="1"/>
    <col min="31" max="31" style="193" width="11.862142857142858" customWidth="1" bestFit="1"/>
    <col min="32" max="32" style="193" width="11.862142857142858" customWidth="1" bestFit="1"/>
  </cols>
  <sheetData>
    <row x14ac:dyDescent="0.25" r="1" customHeight="1" ht="136" customFormat="1" s="1">
      <c r="A1" s="2" t="s">
        <v>0</v>
      </c>
      <c r="B1" s="3" t="s">
        <v>1</v>
      </c>
      <c r="C1" s="3"/>
      <c r="D1" s="3"/>
      <c r="E1" s="4"/>
      <c r="F1" s="4"/>
      <c r="G1" s="4"/>
      <c r="H1" s="5"/>
      <c r="I1" s="6"/>
      <c r="J1" s="6"/>
      <c r="K1" s="6"/>
      <c r="L1" s="6"/>
      <c r="M1" s="6"/>
      <c r="N1" s="6"/>
      <c r="O1" s="7"/>
      <c r="P1" s="6"/>
      <c r="Q1" s="6"/>
      <c r="R1" s="6"/>
      <c r="S1" s="6"/>
      <c r="T1" s="6"/>
      <c r="U1" s="6"/>
      <c r="V1" s="7"/>
      <c r="W1" s="8"/>
      <c r="X1" s="8"/>
      <c r="Y1" s="8"/>
      <c r="Z1" s="8"/>
      <c r="AA1" s="8"/>
      <c r="AB1" s="8"/>
      <c r="AC1" s="8"/>
      <c r="AD1" s="8"/>
      <c r="AE1" s="8"/>
      <c r="AF1" s="8"/>
    </row>
    <row x14ac:dyDescent="0.25" r="2" customHeight="1" ht="123" customFormat="1" s="1">
      <c r="A2" s="2" t="s">
        <v>2</v>
      </c>
      <c r="B2" s="3" t="s">
        <v>3</v>
      </c>
      <c r="C2" s="3"/>
      <c r="D2" s="3"/>
      <c r="E2" s="4"/>
      <c r="F2" s="4"/>
      <c r="G2" s="4"/>
      <c r="H2" s="5"/>
      <c r="I2" s="6"/>
      <c r="J2" s="6"/>
      <c r="K2" s="6"/>
      <c r="L2" s="6"/>
      <c r="M2" s="6"/>
      <c r="N2" s="6"/>
      <c r="O2" s="7"/>
      <c r="P2" s="6"/>
      <c r="Q2" s="6"/>
      <c r="R2" s="6"/>
      <c r="S2" s="6"/>
      <c r="T2" s="6"/>
      <c r="U2" s="6"/>
      <c r="V2" s="7"/>
      <c r="W2" s="8"/>
      <c r="X2" s="8"/>
      <c r="Y2" s="8"/>
      <c r="Z2" s="8"/>
      <c r="AA2" s="8"/>
      <c r="AB2" s="8"/>
      <c r="AC2" s="8"/>
      <c r="AD2" s="8"/>
      <c r="AE2" s="8"/>
      <c r="AF2" s="8"/>
    </row>
    <row x14ac:dyDescent="0.25" r="3" customHeight="1" ht="72" customFormat="1" s="1">
      <c r="A3" s="2" t="s">
        <v>4</v>
      </c>
      <c r="B3" s="3" t="s">
        <v>5</v>
      </c>
      <c r="C3" s="3"/>
      <c r="D3" s="3"/>
      <c r="E3" s="4"/>
      <c r="F3" s="4"/>
      <c r="G3" s="4"/>
      <c r="H3" s="5"/>
      <c r="I3" s="6"/>
      <c r="J3" s="6"/>
      <c r="K3" s="6"/>
      <c r="L3" s="6"/>
      <c r="M3" s="6"/>
      <c r="N3" s="6"/>
      <c r="O3" s="7"/>
      <c r="P3" s="6"/>
      <c r="Q3" s="6"/>
      <c r="R3" s="6"/>
      <c r="S3" s="6"/>
      <c r="T3" s="6"/>
      <c r="U3" s="6"/>
      <c r="V3" s="7"/>
      <c r="W3" s="8"/>
      <c r="X3" s="8"/>
      <c r="Y3" s="8"/>
      <c r="Z3" s="8"/>
      <c r="AA3" s="8"/>
      <c r="AB3" s="8"/>
      <c r="AC3" s="8"/>
      <c r="AD3" s="8"/>
      <c r="AE3" s="8"/>
      <c r="AF3" s="8"/>
    </row>
    <row x14ac:dyDescent="0.25" r="4" customHeight="1" ht="80" customFormat="1" s="1">
      <c r="A4" s="2" t="s">
        <v>6</v>
      </c>
      <c r="B4" s="3" t="s">
        <v>7</v>
      </c>
      <c r="C4" s="3"/>
      <c r="D4" s="3"/>
      <c r="E4" s="4"/>
      <c r="F4" s="4"/>
      <c r="G4" s="4"/>
      <c r="H4" s="5"/>
      <c r="I4" s="6"/>
      <c r="J4" s="6"/>
      <c r="K4" s="6"/>
      <c r="L4" s="6"/>
      <c r="M4" s="6"/>
      <c r="N4" s="6"/>
      <c r="O4" s="7"/>
      <c r="P4" s="6"/>
      <c r="Q4" s="6"/>
      <c r="R4" s="6"/>
      <c r="S4" s="6"/>
      <c r="T4" s="6"/>
      <c r="U4" s="6"/>
      <c r="V4" s="7"/>
      <c r="W4" s="8"/>
      <c r="X4" s="8"/>
      <c r="Y4" s="8"/>
      <c r="Z4" s="8"/>
      <c r="AA4" s="8"/>
      <c r="AB4" s="8"/>
      <c r="AC4" s="8"/>
      <c r="AD4" s="8"/>
      <c r="AE4" s="8"/>
      <c r="AF4" s="8"/>
    </row>
    <row x14ac:dyDescent="0.25" r="5" customHeight="1" ht="123" customFormat="1" s="1">
      <c r="A5" s="2" t="s">
        <v>8</v>
      </c>
      <c r="B5" s="3" t="s">
        <v>9</v>
      </c>
      <c r="C5" s="3"/>
      <c r="D5" s="3"/>
      <c r="E5" s="4"/>
      <c r="F5" s="4"/>
      <c r="G5" s="4"/>
      <c r="H5" s="5"/>
      <c r="I5" s="6"/>
      <c r="J5" s="6"/>
      <c r="K5" s="6"/>
      <c r="L5" s="6"/>
      <c r="M5" s="6"/>
      <c r="N5" s="6"/>
      <c r="O5" s="7"/>
      <c r="P5" s="6"/>
      <c r="Q5" s="6"/>
      <c r="R5" s="6"/>
      <c r="S5" s="6"/>
      <c r="T5" s="6"/>
      <c r="U5" s="6"/>
      <c r="V5" s="7"/>
      <c r="W5" s="8"/>
      <c r="X5" s="8"/>
      <c r="Y5" s="8"/>
      <c r="Z5" s="8"/>
      <c r="AA5" s="8"/>
      <c r="AB5" s="8"/>
      <c r="AC5" s="8"/>
      <c r="AD5" s="8"/>
      <c r="AE5" s="8"/>
      <c r="AF5" s="8"/>
    </row>
    <row x14ac:dyDescent="0.25" r="6" customHeight="1" ht="34">
      <c r="A6" s="9" t="s">
        <v>10</v>
      </c>
      <c r="B6" s="10" t="s">
        <v>11</v>
      </c>
      <c r="C6" s="10"/>
      <c r="D6" s="10"/>
      <c r="E6" s="11"/>
      <c r="F6" s="11"/>
      <c r="G6" s="11"/>
      <c r="H6" s="12"/>
      <c r="I6" s="13"/>
      <c r="J6" s="13"/>
      <c r="K6" s="13"/>
      <c r="L6" s="13"/>
      <c r="M6" s="13"/>
      <c r="N6" s="13"/>
      <c r="O6" s="14"/>
      <c r="P6" s="13"/>
      <c r="Q6" s="13"/>
      <c r="R6" s="13"/>
      <c r="S6" s="13"/>
      <c r="T6" s="13"/>
      <c r="U6" s="13"/>
      <c r="V6" s="14"/>
      <c r="W6" s="15"/>
      <c r="X6" s="15"/>
      <c r="Y6" s="15"/>
      <c r="Z6" s="15"/>
      <c r="AA6" s="15"/>
      <c r="AB6" s="15"/>
      <c r="AC6" s="15"/>
      <c r="AD6" s="15"/>
      <c r="AE6" s="15"/>
      <c r="AF6" s="15"/>
    </row>
    <row x14ac:dyDescent="0.25" r="7" customHeight="1" ht="34">
      <c r="A7" s="9" t="s">
        <v>12</v>
      </c>
      <c r="B7" s="10" t="s">
        <v>13</v>
      </c>
      <c r="C7" s="10"/>
      <c r="D7" s="10"/>
      <c r="E7" s="11"/>
      <c r="F7" s="11"/>
      <c r="G7" s="11"/>
      <c r="H7" s="12"/>
      <c r="I7" s="13"/>
      <c r="J7" s="13"/>
      <c r="K7" s="13"/>
      <c r="L7" s="13"/>
      <c r="M7" s="13"/>
      <c r="N7" s="13"/>
      <c r="O7" s="14"/>
      <c r="P7" s="13"/>
      <c r="Q7" s="13"/>
      <c r="R7" s="13"/>
      <c r="S7" s="13"/>
      <c r="T7" s="13"/>
      <c r="U7" s="13"/>
      <c r="V7" s="14"/>
      <c r="W7" s="15"/>
      <c r="X7" s="15"/>
      <c r="Y7" s="15"/>
      <c r="Z7" s="15"/>
      <c r="AA7" s="15"/>
      <c r="AB7" s="15"/>
      <c r="AC7" s="15"/>
      <c r="AD7" s="15"/>
      <c r="AE7" s="15"/>
      <c r="AF7" s="15"/>
    </row>
    <row x14ac:dyDescent="0.25" r="8" customHeight="1" ht="16.5">
      <c r="A8" s="14"/>
      <c r="B8" s="11"/>
      <c r="C8" s="11"/>
      <c r="D8" s="11"/>
      <c r="E8" s="11"/>
      <c r="F8" s="11"/>
      <c r="G8" s="11"/>
      <c r="H8" s="12"/>
      <c r="I8" s="13"/>
      <c r="J8" s="13"/>
      <c r="K8" s="13"/>
      <c r="L8" s="13"/>
      <c r="M8" s="13"/>
      <c r="N8" s="13"/>
      <c r="O8" s="14"/>
      <c r="P8" s="13"/>
      <c r="Q8" s="13"/>
      <c r="R8" s="13"/>
      <c r="S8" s="13"/>
      <c r="T8" s="13"/>
      <c r="U8" s="13"/>
      <c r="V8" s="14"/>
      <c r="W8" s="15"/>
      <c r="X8" s="15"/>
      <c r="Y8" s="15"/>
      <c r="Z8" s="15"/>
      <c r="AA8" s="15"/>
      <c r="AB8" s="15"/>
      <c r="AC8" s="15"/>
      <c r="AD8" s="15"/>
      <c r="AE8" s="15"/>
      <c r="AF8" s="15"/>
    </row>
    <row x14ac:dyDescent="0.25" r="9" customHeight="1" ht="48">
      <c r="A9" s="16" t="s">
        <v>14</v>
      </c>
      <c r="B9" s="17"/>
      <c r="C9" s="17"/>
      <c r="D9" s="17"/>
      <c r="E9" s="17"/>
      <c r="F9" s="17"/>
      <c r="G9" s="17"/>
      <c r="H9" s="16"/>
      <c r="I9" s="17"/>
      <c r="J9" s="17"/>
      <c r="K9" s="17"/>
      <c r="L9" s="17"/>
      <c r="M9" s="17"/>
      <c r="N9" s="17"/>
      <c r="O9" s="16"/>
      <c r="P9" s="17"/>
      <c r="Q9" s="17"/>
      <c r="R9" s="17"/>
      <c r="S9" s="17"/>
      <c r="T9" s="17"/>
      <c r="U9" s="17"/>
      <c r="V9" s="16"/>
      <c r="W9" s="18"/>
      <c r="X9" s="18"/>
      <c r="Y9" s="18"/>
      <c r="Z9" s="18"/>
      <c r="AA9" s="18"/>
      <c r="AB9" s="18"/>
      <c r="AC9" s="18"/>
      <c r="AD9" s="18"/>
      <c r="AE9" s="18"/>
      <c r="AF9" s="18"/>
    </row>
    <row x14ac:dyDescent="0.25" r="10" customHeight="1" ht="16.5">
      <c r="A10" s="14"/>
      <c r="B10" s="11"/>
      <c r="C10" s="11"/>
      <c r="D10" s="11"/>
      <c r="E10" s="11"/>
      <c r="F10" s="11"/>
      <c r="G10" s="11"/>
      <c r="H10" s="12"/>
      <c r="I10" s="13"/>
      <c r="J10" s="13"/>
      <c r="K10" s="13"/>
      <c r="L10" s="13"/>
      <c r="M10" s="13"/>
      <c r="N10" s="13"/>
      <c r="O10" s="14"/>
      <c r="P10" s="13"/>
      <c r="Q10" s="13"/>
      <c r="R10" s="13"/>
      <c r="S10" s="13"/>
      <c r="T10" s="13"/>
      <c r="U10" s="13"/>
      <c r="V10" s="14"/>
      <c r="W10" s="15"/>
      <c r="X10" s="15"/>
      <c r="Y10" s="15"/>
      <c r="Z10" s="15"/>
      <c r="AA10" s="15"/>
      <c r="AB10" s="15"/>
      <c r="AC10" s="15"/>
      <c r="AD10" s="15"/>
      <c r="AE10" s="15"/>
      <c r="AF10" s="15"/>
    </row>
    <row x14ac:dyDescent="0.25" r="11" customHeight="1" ht="16.5">
      <c r="A11" s="14"/>
      <c r="B11" s="19" t="s">
        <v>15</v>
      </c>
      <c r="C11" s="20"/>
      <c r="D11" s="20"/>
      <c r="E11" s="20"/>
      <c r="F11" s="20"/>
      <c r="G11" s="20"/>
      <c r="H11" s="21"/>
      <c r="I11" s="19" t="s">
        <v>16</v>
      </c>
      <c r="J11" s="20"/>
      <c r="K11" s="20"/>
      <c r="L11" s="20"/>
      <c r="M11" s="20"/>
      <c r="N11" s="20"/>
      <c r="O11" s="21"/>
      <c r="P11" s="19" t="s">
        <v>17</v>
      </c>
      <c r="Q11" s="20"/>
      <c r="R11" s="20"/>
      <c r="S11" s="20"/>
      <c r="T11" s="20"/>
      <c r="U11" s="20"/>
      <c r="V11" s="21"/>
      <c r="W11" s="22" t="s">
        <v>18</v>
      </c>
      <c r="X11" s="23"/>
      <c r="Y11" s="23"/>
      <c r="Z11" s="23"/>
      <c r="AA11" s="24"/>
      <c r="AB11" s="22" t="s">
        <v>19</v>
      </c>
      <c r="AC11" s="23"/>
      <c r="AD11" s="23"/>
      <c r="AE11" s="23"/>
      <c r="AF11" s="24"/>
    </row>
    <row x14ac:dyDescent="0.25" r="12" customHeight="1" ht="16.5">
      <c r="A12" s="25" t="s">
        <v>20</v>
      </c>
      <c r="B12" s="26" t="s">
        <v>21</v>
      </c>
      <c r="C12" s="27" t="s">
        <v>22</v>
      </c>
      <c r="D12" s="27" t="s">
        <v>23</v>
      </c>
      <c r="E12" s="27" t="s">
        <v>24</v>
      </c>
      <c r="F12" s="28" t="s">
        <v>25</v>
      </c>
      <c r="G12" s="29" t="s">
        <v>26</v>
      </c>
      <c r="H12" s="30" t="s">
        <v>27</v>
      </c>
      <c r="I12" s="26" t="s">
        <v>21</v>
      </c>
      <c r="J12" s="27" t="s">
        <v>22</v>
      </c>
      <c r="K12" s="27" t="s">
        <v>23</v>
      </c>
      <c r="L12" s="27" t="s">
        <v>24</v>
      </c>
      <c r="M12" s="28" t="s">
        <v>25</v>
      </c>
      <c r="N12" s="29" t="s">
        <v>26</v>
      </c>
      <c r="O12" s="31" t="s">
        <v>27</v>
      </c>
      <c r="P12" s="26" t="s">
        <v>21</v>
      </c>
      <c r="Q12" s="32" t="s">
        <v>22</v>
      </c>
      <c r="R12" s="32" t="s">
        <v>23</v>
      </c>
      <c r="S12" s="32" t="s">
        <v>24</v>
      </c>
      <c r="T12" s="33" t="s">
        <v>25</v>
      </c>
      <c r="U12" s="34" t="s">
        <v>26</v>
      </c>
      <c r="V12" s="30" t="s">
        <v>27</v>
      </c>
      <c r="W12" s="35" t="s">
        <v>21</v>
      </c>
      <c r="X12" s="36" t="s">
        <v>22</v>
      </c>
      <c r="Y12" s="36" t="s">
        <v>23</v>
      </c>
      <c r="Z12" s="36" t="s">
        <v>24</v>
      </c>
      <c r="AA12" s="37" t="s">
        <v>28</v>
      </c>
      <c r="AB12" s="35" t="s">
        <v>21</v>
      </c>
      <c r="AC12" s="36" t="s">
        <v>22</v>
      </c>
      <c r="AD12" s="36" t="s">
        <v>23</v>
      </c>
      <c r="AE12" s="36" t="s">
        <v>24</v>
      </c>
      <c r="AF12" s="37" t="s">
        <v>28</v>
      </c>
    </row>
    <row x14ac:dyDescent="0.25" r="13" customHeight="1" ht="83">
      <c r="A13" s="38" t="s">
        <v>29</v>
      </c>
      <c r="B13" s="39">
        <v>0</v>
      </c>
      <c r="C13" s="40">
        <v>3</v>
      </c>
      <c r="D13" s="41">
        <v>0</v>
      </c>
      <c r="E13" s="40">
        <v>1</v>
      </c>
      <c r="F13" s="42">
        <v>0</v>
      </c>
      <c r="G13" s="43">
        <v>0</v>
      </c>
      <c r="H13" s="44"/>
      <c r="I13" s="45">
        <v>0</v>
      </c>
      <c r="J13" s="46">
        <v>5</v>
      </c>
      <c r="K13" s="46">
        <v>0</v>
      </c>
      <c r="L13" s="46">
        <v>1</v>
      </c>
      <c r="M13" s="47">
        <v>0</v>
      </c>
      <c r="N13" s="48">
        <v>0</v>
      </c>
      <c r="O13" s="49" t="s">
        <v>30</v>
      </c>
      <c r="P13" s="45">
        <v>0</v>
      </c>
      <c r="Q13" s="46">
        <v>1</v>
      </c>
      <c r="R13" s="46">
        <v>0</v>
      </c>
      <c r="S13" s="46">
        <v>1</v>
      </c>
      <c r="T13" s="47">
        <v>0</v>
      </c>
      <c r="U13" s="47">
        <v>1</v>
      </c>
      <c r="V13" s="50" t="s">
        <v>31</v>
      </c>
      <c r="W13" s="51">
        <f>AVERAGE(B13,I13,P13)</f>
      </c>
      <c r="X13" s="51">
        <f>AVERAGE(C13,J13,Q13)</f>
      </c>
      <c r="Y13" s="51">
        <f>AVERAGE(D13,K13,R13)</f>
      </c>
      <c r="Z13" s="51">
        <f>AVERAGE(E13,L13,S13)</f>
      </c>
      <c r="AA13" s="52">
        <f>AVERAGE(G13,N13,U13)</f>
      </c>
      <c r="AB13" s="53">
        <f>STDEV(B13,I13,P13)</f>
      </c>
      <c r="AC13" s="53">
        <f>STDEV(C13,J13,Q13)</f>
      </c>
      <c r="AD13" s="53">
        <f>STDEV(D13,K13,R13)</f>
      </c>
      <c r="AE13" s="53">
        <f>STDEV(E13,L13,S13)</f>
      </c>
      <c r="AF13" s="54">
        <f>STDEV(G13,N13,U13)</f>
      </c>
    </row>
    <row x14ac:dyDescent="0.25" r="14" customHeight="1" ht="106">
      <c r="A14" s="38" t="s">
        <v>32</v>
      </c>
      <c r="B14" s="39">
        <v>0</v>
      </c>
      <c r="C14" s="40">
        <v>4</v>
      </c>
      <c r="D14" s="40">
        <v>0</v>
      </c>
      <c r="E14" s="40">
        <v>1</v>
      </c>
      <c r="F14" s="42">
        <v>0</v>
      </c>
      <c r="G14" s="55">
        <v>0</v>
      </c>
      <c r="H14" s="56"/>
      <c r="I14" s="57">
        <v>0</v>
      </c>
      <c r="J14" s="40">
        <v>4</v>
      </c>
      <c r="K14" s="40">
        <v>0</v>
      </c>
      <c r="L14" s="40">
        <v>1</v>
      </c>
      <c r="M14" s="40">
        <v>0</v>
      </c>
      <c r="N14" s="55">
        <v>1</v>
      </c>
      <c r="O14" s="56" t="s">
        <v>33</v>
      </c>
      <c r="P14" s="57">
        <v>0</v>
      </c>
      <c r="Q14" s="40">
        <v>4</v>
      </c>
      <c r="R14" s="40">
        <v>0</v>
      </c>
      <c r="S14" s="40">
        <v>1</v>
      </c>
      <c r="T14" s="42">
        <v>0</v>
      </c>
      <c r="U14" s="42">
        <v>0</v>
      </c>
      <c r="V14" s="56"/>
      <c r="W14" s="51">
        <f>AVERAGE(B14,I14,P14)</f>
      </c>
      <c r="X14" s="51">
        <f>AVERAGE(C14,J14,Q14)</f>
      </c>
      <c r="Y14" s="51">
        <f>AVERAGE(D14,K14,R14)</f>
      </c>
      <c r="Z14" s="51">
        <f>AVERAGE(E14,L14,S14)</f>
      </c>
      <c r="AA14" s="52">
        <f>AVERAGE(G14,N14,U14)</f>
      </c>
      <c r="AB14" s="53">
        <f>STDEV(B14,I14,P14)</f>
      </c>
      <c r="AC14" s="53">
        <f>STDEV(C14,J14,Q14)</f>
      </c>
      <c r="AD14" s="53">
        <f>STDEV(D14,K14,R14)</f>
      </c>
      <c r="AE14" s="53">
        <f>STDEV(E14,L14,S14)</f>
      </c>
      <c r="AF14" s="54">
        <f>STDEV(G14,N14,U14)</f>
      </c>
    </row>
    <row x14ac:dyDescent="0.25" r="15" customHeight="1" ht="106">
      <c r="A15" s="58" t="s">
        <v>34</v>
      </c>
      <c r="B15" s="59">
        <v>0</v>
      </c>
      <c r="C15" s="60">
        <v>5</v>
      </c>
      <c r="D15" s="60">
        <v>0</v>
      </c>
      <c r="E15" s="60">
        <v>1</v>
      </c>
      <c r="F15" s="61">
        <v>0</v>
      </c>
      <c r="G15" s="62">
        <v>1</v>
      </c>
      <c r="H15" s="63" t="s">
        <v>35</v>
      </c>
      <c r="I15" s="57">
        <v>1</v>
      </c>
      <c r="J15" s="40">
        <v>5</v>
      </c>
      <c r="K15" s="40">
        <v>0</v>
      </c>
      <c r="L15" s="40">
        <v>1</v>
      </c>
      <c r="M15" s="40">
        <v>0</v>
      </c>
      <c r="N15" s="55">
        <v>1</v>
      </c>
      <c r="O15" s="56" t="s">
        <v>36</v>
      </c>
      <c r="P15" s="57">
        <v>0</v>
      </c>
      <c r="Q15" s="40">
        <v>5</v>
      </c>
      <c r="R15" s="60">
        <v>0</v>
      </c>
      <c r="S15" s="60">
        <v>1</v>
      </c>
      <c r="T15" s="61">
        <v>0</v>
      </c>
      <c r="U15" s="61">
        <v>1</v>
      </c>
      <c r="V15" s="56" t="s">
        <v>31</v>
      </c>
      <c r="W15" s="51">
        <f>AVERAGE(B15,I15,P15)</f>
      </c>
      <c r="X15" s="51">
        <f>AVERAGE(C15,J15,Q15)</f>
      </c>
      <c r="Y15" s="51">
        <f>AVERAGE(D15,K15,R15)</f>
      </c>
      <c r="Z15" s="51">
        <f>AVERAGE(E15,L15,S15)</f>
      </c>
      <c r="AA15" s="52">
        <f>AVERAGE(G15,N15,U15)</f>
      </c>
      <c r="AB15" s="53">
        <f>STDEV(B15,I15,P15)</f>
      </c>
      <c r="AC15" s="53">
        <f>STDEV(C15,J15,Q15)</f>
      </c>
      <c r="AD15" s="53">
        <f>STDEV(D15,K15,R15)</f>
      </c>
      <c r="AE15" s="53">
        <f>STDEV(E15,L15,S15)</f>
      </c>
      <c r="AF15" s="54">
        <f>STDEV(G15,N15,U15)</f>
      </c>
    </row>
    <row x14ac:dyDescent="0.25" r="16" customHeight="1" ht="106">
      <c r="A16" s="64" t="s">
        <v>37</v>
      </c>
      <c r="B16" s="65">
        <v>0</v>
      </c>
      <c r="C16" s="66">
        <v>4</v>
      </c>
      <c r="D16" s="66">
        <v>0</v>
      </c>
      <c r="E16" s="66">
        <v>1</v>
      </c>
      <c r="F16" s="67">
        <v>0</v>
      </c>
      <c r="G16" s="68">
        <v>0</v>
      </c>
      <c r="H16" s="69"/>
      <c r="I16" s="70">
        <v>0</v>
      </c>
      <c r="J16" s="71">
        <v>5</v>
      </c>
      <c r="K16" s="71">
        <v>1</v>
      </c>
      <c r="L16" s="71">
        <v>1</v>
      </c>
      <c r="M16" s="72">
        <v>0</v>
      </c>
      <c r="N16" s="73">
        <v>0</v>
      </c>
      <c r="O16" s="74"/>
      <c r="P16" s="75">
        <v>0</v>
      </c>
      <c r="Q16" s="76">
        <v>5</v>
      </c>
      <c r="R16" s="60">
        <v>0</v>
      </c>
      <c r="S16" s="60">
        <v>1</v>
      </c>
      <c r="T16" s="61">
        <v>0</v>
      </c>
      <c r="U16" s="61">
        <v>0</v>
      </c>
      <c r="V16" s="77"/>
      <c r="W16" s="78">
        <f>AVERAGE(B16,I16,P16)</f>
      </c>
      <c r="X16" s="78">
        <f>AVERAGE(C16,J16,Q16)</f>
      </c>
      <c r="Y16" s="78">
        <f>AVERAGE(D16,K16,R16)</f>
      </c>
      <c r="Z16" s="78">
        <f>AVERAGE(E16,L16,S16)</f>
      </c>
      <c r="AA16" s="79">
        <f>AVERAGE(G16,N16,U16)</f>
      </c>
      <c r="AB16" s="80">
        <f>STDEV(B16,I16,P16)</f>
      </c>
      <c r="AC16" s="80">
        <f>STDEV(C16,J16,Q16)</f>
      </c>
      <c r="AD16" s="80">
        <f>STDEV(D16,K16,R16)</f>
      </c>
      <c r="AE16" s="80">
        <f>STDEV(E16,L16,S16)</f>
      </c>
      <c r="AF16" s="81">
        <f>STDEV(G16,N16,U16)</f>
      </c>
    </row>
    <row x14ac:dyDescent="0.25" r="17" customHeight="1" ht="16.5">
      <c r="A17" s="14"/>
      <c r="B17" s="11"/>
      <c r="C17" s="11"/>
      <c r="D17" s="11"/>
      <c r="E17" s="11"/>
      <c r="F17" s="11"/>
      <c r="G17" s="11"/>
      <c r="H17" s="12"/>
      <c r="I17" s="13"/>
      <c r="J17" s="13"/>
      <c r="K17" s="13"/>
      <c r="L17" s="13"/>
      <c r="M17" s="13"/>
      <c r="N17" s="13"/>
      <c r="O17" s="14"/>
      <c r="P17" s="13"/>
      <c r="Q17" s="13"/>
      <c r="R17" s="13"/>
      <c r="S17" s="13"/>
      <c r="T17" s="13"/>
      <c r="U17" s="13"/>
      <c r="V17" s="14"/>
      <c r="W17" s="15"/>
      <c r="X17" s="15"/>
      <c r="Y17" s="15"/>
      <c r="Z17" s="15"/>
      <c r="AA17" s="15"/>
      <c r="AB17" s="82"/>
      <c r="AC17" s="15"/>
      <c r="AD17" s="15"/>
      <c r="AE17" s="15"/>
      <c r="AF17" s="15"/>
    </row>
    <row x14ac:dyDescent="0.25" r="18" customHeight="1" ht="16.5">
      <c r="A18" s="14"/>
      <c r="B18" s="11"/>
      <c r="C18" s="11"/>
      <c r="D18" s="11"/>
      <c r="E18" s="11"/>
      <c r="F18" s="11"/>
      <c r="G18" s="11"/>
      <c r="H18" s="12"/>
      <c r="I18" s="13"/>
      <c r="J18" s="13"/>
      <c r="K18" s="13"/>
      <c r="L18" s="13"/>
      <c r="M18" s="13"/>
      <c r="N18" s="13"/>
      <c r="O18" s="14"/>
      <c r="P18" s="13"/>
      <c r="Q18" s="13"/>
      <c r="R18" s="13"/>
      <c r="S18" s="13"/>
      <c r="T18" s="13"/>
      <c r="U18" s="13"/>
      <c r="V18" s="14"/>
      <c r="W18" s="15"/>
      <c r="X18" s="15"/>
      <c r="Y18" s="15"/>
      <c r="Z18" s="15"/>
      <c r="AA18" s="15"/>
      <c r="AB18" s="15"/>
      <c r="AC18" s="15"/>
      <c r="AD18" s="15"/>
      <c r="AE18" s="15"/>
      <c r="AF18" s="15"/>
    </row>
    <row x14ac:dyDescent="0.25" r="19" customHeight="1" ht="16.5">
      <c r="A19" s="14"/>
      <c r="B19" s="11"/>
      <c r="C19" s="11"/>
      <c r="D19" s="11"/>
      <c r="E19" s="11"/>
      <c r="F19" s="11"/>
      <c r="G19" s="11"/>
      <c r="H19" s="12"/>
      <c r="I19" s="13"/>
      <c r="J19" s="13"/>
      <c r="K19" s="13"/>
      <c r="L19" s="13"/>
      <c r="M19" s="13"/>
      <c r="N19" s="13"/>
      <c r="O19" s="14"/>
      <c r="P19" s="13"/>
      <c r="Q19" s="13"/>
      <c r="R19" s="13"/>
      <c r="S19" s="13"/>
      <c r="T19" s="13"/>
      <c r="U19" s="13"/>
      <c r="V19" s="14"/>
      <c r="W19" s="15"/>
      <c r="X19" s="15"/>
      <c r="Y19" s="15"/>
      <c r="Z19" s="15"/>
      <c r="AA19" s="15"/>
      <c r="AB19" s="15"/>
      <c r="AC19" s="15"/>
      <c r="AD19" s="15"/>
      <c r="AE19" s="15"/>
      <c r="AF19" s="15"/>
    </row>
    <row x14ac:dyDescent="0.25" r="20" customHeight="1" ht="16.5">
      <c r="A20" s="14"/>
      <c r="B20" s="19" t="s">
        <v>15</v>
      </c>
      <c r="C20" s="20"/>
      <c r="D20" s="20"/>
      <c r="E20" s="20"/>
      <c r="F20" s="20"/>
      <c r="G20" s="20"/>
      <c r="H20" s="83"/>
      <c r="I20" s="84" t="s">
        <v>16</v>
      </c>
      <c r="J20" s="85"/>
      <c r="K20" s="85"/>
      <c r="L20" s="85"/>
      <c r="M20" s="85"/>
      <c r="N20" s="85"/>
      <c r="O20" s="21"/>
      <c r="P20" s="19" t="s">
        <v>17</v>
      </c>
      <c r="Q20" s="20"/>
      <c r="R20" s="20"/>
      <c r="S20" s="20"/>
      <c r="T20" s="20"/>
      <c r="U20" s="20"/>
      <c r="V20" s="21"/>
      <c r="W20" s="22" t="s">
        <v>18</v>
      </c>
      <c r="X20" s="23"/>
      <c r="Y20" s="23"/>
      <c r="Z20" s="23"/>
      <c r="AA20" s="24"/>
      <c r="AB20" s="22" t="s">
        <v>19</v>
      </c>
      <c r="AC20" s="23"/>
      <c r="AD20" s="23"/>
      <c r="AE20" s="23"/>
      <c r="AF20" s="24"/>
    </row>
    <row x14ac:dyDescent="0.25" r="21" customHeight="1" ht="16.5">
      <c r="A21" s="25" t="s">
        <v>20</v>
      </c>
      <c r="B21" s="26" t="s">
        <v>21</v>
      </c>
      <c r="C21" s="27" t="s">
        <v>22</v>
      </c>
      <c r="D21" s="27" t="s">
        <v>23</v>
      </c>
      <c r="E21" s="27" t="s">
        <v>24</v>
      </c>
      <c r="F21" s="28" t="s">
        <v>25</v>
      </c>
      <c r="G21" s="29" t="s">
        <v>28</v>
      </c>
      <c r="H21" s="30" t="s">
        <v>27</v>
      </c>
      <c r="I21" s="86" t="s">
        <v>21</v>
      </c>
      <c r="J21" s="87" t="s">
        <v>22</v>
      </c>
      <c r="K21" s="87" t="s">
        <v>23</v>
      </c>
      <c r="L21" s="87" t="s">
        <v>24</v>
      </c>
      <c r="M21" s="88" t="s">
        <v>25</v>
      </c>
      <c r="N21" s="89" t="s">
        <v>28</v>
      </c>
      <c r="O21" s="90" t="s">
        <v>27</v>
      </c>
      <c r="P21" s="26" t="s">
        <v>21</v>
      </c>
      <c r="Q21" s="32" t="s">
        <v>22</v>
      </c>
      <c r="R21" s="32" t="s">
        <v>23</v>
      </c>
      <c r="S21" s="32" t="s">
        <v>24</v>
      </c>
      <c r="T21" s="33" t="s">
        <v>25</v>
      </c>
      <c r="U21" s="34" t="s">
        <v>28</v>
      </c>
      <c r="V21" s="30" t="s">
        <v>27</v>
      </c>
      <c r="W21" s="35" t="s">
        <v>21</v>
      </c>
      <c r="X21" s="36" t="s">
        <v>22</v>
      </c>
      <c r="Y21" s="36" t="s">
        <v>23</v>
      </c>
      <c r="Z21" s="36" t="s">
        <v>24</v>
      </c>
      <c r="AA21" s="37" t="s">
        <v>28</v>
      </c>
      <c r="AB21" s="35" t="s">
        <v>21</v>
      </c>
      <c r="AC21" s="36" t="s">
        <v>22</v>
      </c>
      <c r="AD21" s="36" t="s">
        <v>23</v>
      </c>
      <c r="AE21" s="36" t="s">
        <v>24</v>
      </c>
      <c r="AF21" s="37" t="s">
        <v>28</v>
      </c>
    </row>
    <row x14ac:dyDescent="0.25" r="22" customHeight="1" ht="134">
      <c r="A22" s="38" t="s">
        <v>38</v>
      </c>
      <c r="B22" s="39">
        <v>0</v>
      </c>
      <c r="C22" s="40">
        <v>3</v>
      </c>
      <c r="D22" s="40">
        <v>0</v>
      </c>
      <c r="E22" s="40">
        <v>1</v>
      </c>
      <c r="F22" s="42">
        <v>0</v>
      </c>
      <c r="G22" s="55">
        <v>2</v>
      </c>
      <c r="H22" s="56" t="s">
        <v>39</v>
      </c>
      <c r="I22" s="91">
        <v>4</v>
      </c>
      <c r="J22" s="92">
        <v>6</v>
      </c>
      <c r="K22" s="92">
        <v>0</v>
      </c>
      <c r="L22" s="92">
        <v>1</v>
      </c>
      <c r="M22" s="92">
        <v>3</v>
      </c>
      <c r="N22" s="93">
        <v>0</v>
      </c>
      <c r="O22" s="94" t="s">
        <v>40</v>
      </c>
      <c r="P22" s="91">
        <v>1</v>
      </c>
      <c r="Q22" s="92">
        <v>3</v>
      </c>
      <c r="R22" s="92">
        <v>0</v>
      </c>
      <c r="S22" s="92">
        <v>1</v>
      </c>
      <c r="T22" s="92">
        <v>0</v>
      </c>
      <c r="U22" s="93">
        <v>0</v>
      </c>
      <c r="V22" s="95" t="s">
        <v>41</v>
      </c>
      <c r="W22" s="51">
        <f>AVERAGE(B22,I22,P22)</f>
      </c>
      <c r="X22" s="51">
        <f>AVERAGE(C22,J22,Q22)</f>
      </c>
      <c r="Y22" s="51">
        <f>AVERAGE(D22,K22,R22)</f>
      </c>
      <c r="Z22" s="51">
        <f>AVERAGE(E22,L22,S22)</f>
      </c>
      <c r="AA22" s="51">
        <f>AVERAGE(G22,N22,U22)</f>
      </c>
      <c r="AB22" s="53">
        <f>STDEV(B22,I22,P22)</f>
      </c>
      <c r="AC22" s="53">
        <f>STDEV(C22,J22,Q22)</f>
      </c>
      <c r="AD22" s="53">
        <f>STDEV(D22,K22,R22)</f>
      </c>
      <c r="AE22" s="53">
        <f>STDEV(E22,L22,S22)</f>
      </c>
      <c r="AF22" s="54">
        <f>STDEV(G22,N22,U22)</f>
      </c>
    </row>
    <row x14ac:dyDescent="0.25" r="23" customHeight="1" ht="214">
      <c r="A23" s="38" t="s">
        <v>42</v>
      </c>
      <c r="B23" s="39">
        <v>2</v>
      </c>
      <c r="C23" s="40">
        <v>6</v>
      </c>
      <c r="D23" s="40">
        <v>0</v>
      </c>
      <c r="E23" s="40">
        <v>1</v>
      </c>
      <c r="F23" s="42">
        <v>2</v>
      </c>
      <c r="G23" s="55">
        <v>6</v>
      </c>
      <c r="H23" s="56" t="s">
        <v>43</v>
      </c>
      <c r="I23" s="57">
        <v>2</v>
      </c>
      <c r="J23" s="40">
        <v>6</v>
      </c>
      <c r="K23" s="40">
        <v>0</v>
      </c>
      <c r="L23" s="40">
        <v>1</v>
      </c>
      <c r="M23" s="40">
        <v>0</v>
      </c>
      <c r="N23" s="42">
        <v>0</v>
      </c>
      <c r="O23" s="56" t="s">
        <v>44</v>
      </c>
      <c r="P23" s="57">
        <v>1</v>
      </c>
      <c r="Q23" s="40">
        <v>6</v>
      </c>
      <c r="R23" s="40">
        <v>0</v>
      </c>
      <c r="S23" s="40">
        <v>1</v>
      </c>
      <c r="T23" s="40">
        <v>2</v>
      </c>
      <c r="U23" s="42">
        <v>3</v>
      </c>
      <c r="V23" s="56" t="s">
        <v>45</v>
      </c>
      <c r="W23" s="51">
        <f>AVERAGE(B23,I23,P23)</f>
      </c>
      <c r="X23" s="51">
        <f>AVERAGE(C23,J23,Q23)</f>
      </c>
      <c r="Y23" s="51">
        <f>AVERAGE(D23,K23,R23)</f>
      </c>
      <c r="Z23" s="51">
        <f>AVERAGE(E23,L23,S23)</f>
      </c>
      <c r="AA23" s="51">
        <f>AVERAGE(G23,N23,U23)</f>
      </c>
      <c r="AB23" s="53">
        <f>STDEV(B23,I23,P23)</f>
      </c>
      <c r="AC23" s="53">
        <f>STDEV(C23,J23,Q23)</f>
      </c>
      <c r="AD23" s="53">
        <f>STDEV(D23,K23,R23)</f>
      </c>
      <c r="AE23" s="53">
        <f>STDEV(E23,L23,S23)</f>
      </c>
      <c r="AF23" s="54">
        <f>STDEV(G23,N23,U23)</f>
      </c>
    </row>
    <row x14ac:dyDescent="0.25" r="24" customHeight="1" ht="156">
      <c r="A24" s="38" t="s">
        <v>46</v>
      </c>
      <c r="B24" s="39">
        <v>0</v>
      </c>
      <c r="C24" s="40">
        <v>5</v>
      </c>
      <c r="D24" s="40">
        <v>0</v>
      </c>
      <c r="E24" s="40">
        <v>1</v>
      </c>
      <c r="F24" s="42">
        <v>0</v>
      </c>
      <c r="G24" s="55">
        <v>1</v>
      </c>
      <c r="H24" s="96" t="s">
        <v>47</v>
      </c>
      <c r="I24" s="57">
        <v>0</v>
      </c>
      <c r="J24" s="40">
        <v>5</v>
      </c>
      <c r="K24" s="40">
        <v>0</v>
      </c>
      <c r="L24" s="40">
        <v>1</v>
      </c>
      <c r="M24" s="40">
        <v>0</v>
      </c>
      <c r="N24" s="42">
        <v>3</v>
      </c>
      <c r="O24" s="56" t="s">
        <v>48</v>
      </c>
      <c r="P24" s="57">
        <v>1</v>
      </c>
      <c r="Q24" s="40">
        <v>5</v>
      </c>
      <c r="R24" s="40">
        <v>0</v>
      </c>
      <c r="S24" s="40">
        <v>1</v>
      </c>
      <c r="T24" s="40">
        <v>0</v>
      </c>
      <c r="U24" s="42">
        <v>1</v>
      </c>
      <c r="V24" s="56" t="s">
        <v>49</v>
      </c>
      <c r="W24" s="51">
        <f>AVERAGE(B24,I24,P24)</f>
      </c>
      <c r="X24" s="51">
        <f>AVERAGE(C24,J24,Q24)</f>
      </c>
      <c r="Y24" s="51">
        <f>AVERAGE(D24,K24,R24)</f>
      </c>
      <c r="Z24" s="51">
        <f>AVERAGE(E24,L24,S24)</f>
      </c>
      <c r="AA24" s="51">
        <f>AVERAGE(G24,N24,U24)</f>
      </c>
      <c r="AB24" s="53">
        <f>STDEV(B24,I24,P24)</f>
      </c>
      <c r="AC24" s="53">
        <f>STDEV(C24,J24,Q24)</f>
      </c>
      <c r="AD24" s="53">
        <f>STDEV(D24,K24,R24)</f>
      </c>
      <c r="AE24" s="53">
        <f>STDEV(E24,L24,S24)</f>
      </c>
      <c r="AF24" s="54">
        <f>STDEV(G24,N24,U24)</f>
      </c>
    </row>
    <row x14ac:dyDescent="0.25" r="25" customHeight="1" ht="345">
      <c r="A25" s="64" t="s">
        <v>50</v>
      </c>
      <c r="B25" s="65">
        <v>1</v>
      </c>
      <c r="C25" s="66">
        <v>8</v>
      </c>
      <c r="D25" s="66">
        <v>0</v>
      </c>
      <c r="E25" s="66">
        <v>1</v>
      </c>
      <c r="F25" s="67">
        <v>1</v>
      </c>
      <c r="G25" s="68">
        <v>4</v>
      </c>
      <c r="H25" s="69" t="s">
        <v>51</v>
      </c>
      <c r="I25" s="97">
        <v>3</v>
      </c>
      <c r="J25" s="66">
        <v>7</v>
      </c>
      <c r="K25" s="66">
        <v>0</v>
      </c>
      <c r="L25" s="66">
        <v>1</v>
      </c>
      <c r="M25" s="66">
        <v>0</v>
      </c>
      <c r="N25" s="67">
        <v>1</v>
      </c>
      <c r="O25" s="77" t="s">
        <v>52</v>
      </c>
      <c r="P25" s="97">
        <v>2</v>
      </c>
      <c r="Q25" s="66">
        <v>7</v>
      </c>
      <c r="R25" s="66">
        <v>0</v>
      </c>
      <c r="S25" s="66">
        <v>1</v>
      </c>
      <c r="T25" s="66">
        <v>0</v>
      </c>
      <c r="U25" s="67">
        <v>1</v>
      </c>
      <c r="V25" s="98" t="s">
        <v>53</v>
      </c>
      <c r="W25" s="78">
        <f>AVERAGE(B25,I32,P25)</f>
      </c>
      <c r="X25" s="78">
        <f>AVERAGE(C25,J32,Q25)</f>
      </c>
      <c r="Y25" s="78">
        <f>AVERAGE(D25,K32,R25)</f>
      </c>
      <c r="Z25" s="78">
        <f>AVERAGE(E25,L32,S25)</f>
      </c>
      <c r="AA25" s="78">
        <f>AVERAGE(G25,N32,U25)</f>
      </c>
      <c r="AB25" s="80">
        <f>STDEV(B25,I32,P25)</f>
      </c>
      <c r="AC25" s="80">
        <f>STDEV(C25,J32,Q25)</f>
      </c>
      <c r="AD25" s="80">
        <f>STDEV(D25,K32,R25)</f>
      </c>
      <c r="AE25" s="80">
        <f>STDEV(E25,L32,S25)</f>
      </c>
      <c r="AF25" s="81">
        <f>STDEV(G25,N32,U25)</f>
      </c>
    </row>
    <row x14ac:dyDescent="0.25" r="26" customHeight="1" ht="16.5">
      <c r="A26" s="14"/>
      <c r="B26" s="11"/>
      <c r="C26" s="11"/>
      <c r="D26" s="11"/>
      <c r="E26" s="11"/>
      <c r="F26" s="11"/>
      <c r="G26" s="11"/>
      <c r="H26" s="12"/>
      <c r="I26" s="13"/>
      <c r="J26" s="13"/>
      <c r="K26" s="13"/>
      <c r="L26" s="13"/>
      <c r="M26" s="13"/>
      <c r="N26" s="13"/>
      <c r="O26" s="14"/>
      <c r="P26" s="13"/>
      <c r="Q26" s="13"/>
      <c r="R26" s="13"/>
      <c r="S26" s="13"/>
      <c r="T26" s="13"/>
      <c r="U26" s="13"/>
      <c r="V26" s="14"/>
      <c r="W26" s="15"/>
      <c r="X26" s="15"/>
      <c r="Y26" s="15"/>
      <c r="Z26" s="15"/>
      <c r="AA26" s="15"/>
      <c r="AB26" s="15"/>
      <c r="AC26" s="15"/>
      <c r="AD26" s="15"/>
      <c r="AE26" s="15"/>
      <c r="AF26" s="15"/>
    </row>
    <row x14ac:dyDescent="0.25" r="27" customHeight="1" ht="16.5">
      <c r="A27" s="14"/>
      <c r="B27" s="11"/>
      <c r="C27" s="11"/>
      <c r="D27" s="11"/>
      <c r="E27" s="11"/>
      <c r="F27" s="11"/>
      <c r="G27" s="11"/>
      <c r="H27" s="12"/>
      <c r="I27" s="13"/>
      <c r="J27" s="13"/>
      <c r="K27" s="13"/>
      <c r="L27" s="13"/>
      <c r="M27" s="13"/>
      <c r="N27" s="13"/>
      <c r="O27" s="14"/>
      <c r="P27" s="13"/>
      <c r="Q27" s="13"/>
      <c r="R27" s="13"/>
      <c r="S27" s="13"/>
      <c r="T27" s="13"/>
      <c r="U27" s="13"/>
      <c r="V27" s="14"/>
      <c r="W27" s="15"/>
      <c r="X27" s="15"/>
      <c r="Y27" s="15"/>
      <c r="Z27" s="15"/>
      <c r="AA27" s="15"/>
      <c r="AB27" s="15"/>
      <c r="AC27" s="15"/>
      <c r="AD27" s="15"/>
      <c r="AE27" s="15"/>
      <c r="AF27" s="15"/>
    </row>
    <row x14ac:dyDescent="0.25" r="28" customHeight="1" ht="16.5">
      <c r="A28" s="14"/>
      <c r="B28" s="11"/>
      <c r="C28" s="11"/>
      <c r="D28" s="11"/>
      <c r="E28" s="11"/>
      <c r="F28" s="11"/>
      <c r="G28" s="11"/>
      <c r="H28" s="12"/>
      <c r="I28" s="13"/>
      <c r="J28" s="13"/>
      <c r="K28" s="13"/>
      <c r="L28" s="13"/>
      <c r="M28" s="13"/>
      <c r="N28" s="13"/>
      <c r="O28" s="14"/>
      <c r="P28" s="13"/>
      <c r="Q28" s="13"/>
      <c r="R28" s="13"/>
      <c r="S28" s="13"/>
      <c r="T28" s="13"/>
      <c r="U28" s="13"/>
      <c r="V28" s="14"/>
      <c r="W28" s="15"/>
      <c r="X28" s="15"/>
      <c r="Y28" s="15"/>
      <c r="Z28" s="15"/>
      <c r="AA28" s="15"/>
      <c r="AB28" s="15"/>
      <c r="AC28" s="15"/>
      <c r="AD28" s="15"/>
      <c r="AE28" s="15"/>
      <c r="AF28" s="15"/>
    </row>
    <row x14ac:dyDescent="0.25" r="29" customHeight="1" ht="16.5">
      <c r="A29" s="14"/>
      <c r="B29" s="11"/>
      <c r="C29" s="11"/>
      <c r="D29" s="11"/>
      <c r="E29" s="11"/>
      <c r="F29" s="11"/>
      <c r="G29" s="11"/>
      <c r="H29" s="12"/>
      <c r="I29" s="13"/>
      <c r="J29" s="13"/>
      <c r="K29" s="13"/>
      <c r="L29" s="13"/>
      <c r="M29" s="13"/>
      <c r="N29" s="13"/>
      <c r="O29" s="14"/>
      <c r="P29" s="13"/>
      <c r="Q29" s="13"/>
      <c r="R29" s="13"/>
      <c r="S29" s="13"/>
      <c r="T29" s="13"/>
      <c r="U29" s="13"/>
      <c r="V29" s="14"/>
      <c r="W29" s="15"/>
      <c r="X29" s="15"/>
      <c r="Y29" s="15"/>
      <c r="Z29" s="15"/>
      <c r="AA29" s="15"/>
      <c r="AB29" s="15"/>
      <c r="AC29" s="15"/>
      <c r="AD29" s="15"/>
      <c r="AE29" s="15"/>
      <c r="AF29" s="15"/>
    </row>
    <row x14ac:dyDescent="0.25" r="30" customHeight="1" ht="16.5">
      <c r="A30" s="14"/>
      <c r="B30" s="19" t="s">
        <v>15</v>
      </c>
      <c r="C30" s="20"/>
      <c r="D30" s="20"/>
      <c r="E30" s="20"/>
      <c r="F30" s="20"/>
      <c r="G30" s="20"/>
      <c r="H30" s="21"/>
      <c r="I30" s="19" t="s">
        <v>16</v>
      </c>
      <c r="J30" s="20"/>
      <c r="K30" s="20"/>
      <c r="L30" s="20"/>
      <c r="M30" s="20"/>
      <c r="N30" s="20"/>
      <c r="O30" s="21"/>
      <c r="P30" s="19" t="s">
        <v>17</v>
      </c>
      <c r="Q30" s="20"/>
      <c r="R30" s="20"/>
      <c r="S30" s="20"/>
      <c r="T30" s="20"/>
      <c r="U30" s="20"/>
      <c r="V30" s="21"/>
      <c r="W30" s="22" t="s">
        <v>18</v>
      </c>
      <c r="X30" s="23"/>
      <c r="Y30" s="23"/>
      <c r="Z30" s="23"/>
      <c r="AA30" s="24"/>
      <c r="AB30" s="22" t="s">
        <v>19</v>
      </c>
      <c r="AC30" s="23"/>
      <c r="AD30" s="23"/>
      <c r="AE30" s="23"/>
      <c r="AF30" s="24"/>
    </row>
    <row x14ac:dyDescent="0.25" r="31" customHeight="1" ht="16.5">
      <c r="A31" s="25" t="s">
        <v>20</v>
      </c>
      <c r="B31" s="26" t="s">
        <v>21</v>
      </c>
      <c r="C31" s="27" t="s">
        <v>22</v>
      </c>
      <c r="D31" s="27" t="s">
        <v>23</v>
      </c>
      <c r="E31" s="27" t="s">
        <v>24</v>
      </c>
      <c r="F31" s="28" t="s">
        <v>25</v>
      </c>
      <c r="G31" s="29" t="s">
        <v>28</v>
      </c>
      <c r="H31" s="30" t="s">
        <v>27</v>
      </c>
      <c r="I31" s="86" t="s">
        <v>21</v>
      </c>
      <c r="J31" s="87" t="s">
        <v>22</v>
      </c>
      <c r="K31" s="87" t="s">
        <v>23</v>
      </c>
      <c r="L31" s="87" t="s">
        <v>24</v>
      </c>
      <c r="M31" s="88" t="s">
        <v>25</v>
      </c>
      <c r="N31" s="88" t="s">
        <v>28</v>
      </c>
      <c r="O31" s="99" t="s">
        <v>27</v>
      </c>
      <c r="P31" s="32" t="s">
        <v>21</v>
      </c>
      <c r="Q31" s="32" t="s">
        <v>22</v>
      </c>
      <c r="R31" s="32" t="s">
        <v>23</v>
      </c>
      <c r="S31" s="32" t="s">
        <v>24</v>
      </c>
      <c r="T31" s="33" t="s">
        <v>25</v>
      </c>
      <c r="U31" s="34" t="s">
        <v>28</v>
      </c>
      <c r="V31" s="30" t="s">
        <v>27</v>
      </c>
      <c r="W31" s="35" t="s">
        <v>21</v>
      </c>
      <c r="X31" s="36" t="s">
        <v>22</v>
      </c>
      <c r="Y31" s="36" t="s">
        <v>23</v>
      </c>
      <c r="Z31" s="36" t="s">
        <v>24</v>
      </c>
      <c r="AA31" s="37" t="s">
        <v>28</v>
      </c>
      <c r="AB31" s="35" t="s">
        <v>21</v>
      </c>
      <c r="AC31" s="36" t="s">
        <v>22</v>
      </c>
      <c r="AD31" s="36" t="s">
        <v>23</v>
      </c>
      <c r="AE31" s="36" t="s">
        <v>24</v>
      </c>
      <c r="AF31" s="37" t="s">
        <v>28</v>
      </c>
    </row>
    <row x14ac:dyDescent="0.25" r="32" customHeight="1" ht="77">
      <c r="A32" s="56" t="s">
        <v>54</v>
      </c>
      <c r="B32" s="100">
        <v>0</v>
      </c>
      <c r="C32" s="41">
        <v>5</v>
      </c>
      <c r="D32" s="41">
        <v>0</v>
      </c>
      <c r="E32" s="41">
        <v>1</v>
      </c>
      <c r="F32" s="101">
        <v>0</v>
      </c>
      <c r="G32" s="43">
        <v>2</v>
      </c>
      <c r="H32" s="102" t="s">
        <v>55</v>
      </c>
      <c r="I32" s="103">
        <v>2</v>
      </c>
      <c r="J32" s="46">
        <v>5</v>
      </c>
      <c r="K32" s="46">
        <v>0</v>
      </c>
      <c r="L32" s="46">
        <v>1</v>
      </c>
      <c r="M32" s="46">
        <v>0</v>
      </c>
      <c r="N32" s="48">
        <v>2</v>
      </c>
      <c r="O32" s="104" t="s">
        <v>56</v>
      </c>
      <c r="P32" s="103">
        <v>0</v>
      </c>
      <c r="Q32" s="46">
        <v>5</v>
      </c>
      <c r="R32" s="46">
        <v>0</v>
      </c>
      <c r="S32" s="46">
        <v>1</v>
      </c>
      <c r="T32" s="46">
        <v>0</v>
      </c>
      <c r="U32" s="47">
        <v>1</v>
      </c>
      <c r="V32" s="94" t="s">
        <v>31</v>
      </c>
      <c r="W32" s="51">
        <f>AVERAGE(B32,I32,P32)</f>
      </c>
      <c r="X32" s="51">
        <f>AVERAGE(C32,J32,Q32)</f>
      </c>
      <c r="Y32" s="51">
        <f>AVERAGE(D32,K32,R32)</f>
      </c>
      <c r="Z32" s="51">
        <f>AVERAGE(E32,L32,S32)</f>
      </c>
      <c r="AA32" s="51">
        <f>AVERAGE(G32,N32,U32)</f>
      </c>
      <c r="AB32" s="53">
        <f>STDEV(B32,I32,P32)</f>
      </c>
      <c r="AC32" s="53">
        <f>STDEV(C32,J32,Q32)</f>
      </c>
      <c r="AD32" s="53">
        <f>STDEV(D32,K32,R32)</f>
      </c>
      <c r="AE32" s="53">
        <f>STDEV(E32,L32,S32)</f>
      </c>
      <c r="AF32" s="53">
        <f>STDEV(G32,N32,U32)</f>
      </c>
    </row>
    <row x14ac:dyDescent="0.25" r="33" customHeight="1" ht="100">
      <c r="A33" s="56" t="s">
        <v>57</v>
      </c>
      <c r="B33" s="100">
        <v>0</v>
      </c>
      <c r="C33" s="41">
        <v>5</v>
      </c>
      <c r="D33" s="41">
        <v>0</v>
      </c>
      <c r="E33" s="41">
        <v>1</v>
      </c>
      <c r="F33" s="101">
        <v>0</v>
      </c>
      <c r="G33" s="43">
        <v>1</v>
      </c>
      <c r="H33" s="102" t="s">
        <v>58</v>
      </c>
      <c r="I33" s="39">
        <v>2</v>
      </c>
      <c r="J33" s="40">
        <v>12</v>
      </c>
      <c r="K33" s="40">
        <v>2</v>
      </c>
      <c r="L33" s="40">
        <v>1</v>
      </c>
      <c r="M33" s="40">
        <v>0</v>
      </c>
      <c r="N33" s="55">
        <v>0</v>
      </c>
      <c r="O33" s="105" t="s">
        <v>59</v>
      </c>
      <c r="P33" s="100">
        <v>0</v>
      </c>
      <c r="Q33" s="41">
        <v>5</v>
      </c>
      <c r="R33" s="41">
        <v>0</v>
      </c>
      <c r="S33" s="41">
        <v>1</v>
      </c>
      <c r="T33" s="101">
        <v>0</v>
      </c>
      <c r="U33" s="43">
        <v>1</v>
      </c>
      <c r="V33" s="102" t="s">
        <v>58</v>
      </c>
      <c r="W33" s="51">
        <f>AVERAGE(B33,I33,P33)</f>
      </c>
      <c r="X33" s="51">
        <f>AVERAGE(C33,J33,Q33)</f>
      </c>
      <c r="Y33" s="51">
        <f>AVERAGE(D33,K33,R33)</f>
      </c>
      <c r="Z33" s="51">
        <f>AVERAGE(E33,L33,S33)</f>
      </c>
      <c r="AA33" s="51">
        <f>AVERAGE(G33,N33,U33)</f>
      </c>
      <c r="AB33" s="53">
        <f>STDEV(B33,I33,P33)</f>
      </c>
      <c r="AC33" s="53">
        <f>STDEV(C33,J33,Q33)</f>
      </c>
      <c r="AD33" s="53">
        <f>STDEV(D33,K33,R33)</f>
      </c>
      <c r="AE33" s="53">
        <f>STDEV(E33,L33,S33)</f>
      </c>
      <c r="AF33" s="53">
        <f>STDEV(G33,N33,U33)</f>
      </c>
    </row>
    <row x14ac:dyDescent="0.25" r="34" customHeight="1" ht="106">
      <c r="A34" s="56" t="s">
        <v>60</v>
      </c>
      <c r="B34" s="100">
        <v>1</v>
      </c>
      <c r="C34" s="41">
        <v>5</v>
      </c>
      <c r="D34" s="41">
        <v>0</v>
      </c>
      <c r="E34" s="41">
        <v>1</v>
      </c>
      <c r="F34" s="101">
        <v>1</v>
      </c>
      <c r="G34" s="43">
        <v>0</v>
      </c>
      <c r="H34" s="102" t="s">
        <v>61</v>
      </c>
      <c r="I34" s="39">
        <v>0</v>
      </c>
      <c r="J34" s="40">
        <v>5</v>
      </c>
      <c r="K34" s="40">
        <v>1</v>
      </c>
      <c r="L34" s="40">
        <v>1</v>
      </c>
      <c r="M34" s="40">
        <v>0</v>
      </c>
      <c r="N34" s="55">
        <v>0</v>
      </c>
      <c r="O34" s="102"/>
      <c r="P34" s="39">
        <v>0</v>
      </c>
      <c r="Q34" s="40">
        <v>5</v>
      </c>
      <c r="R34" s="40">
        <v>0</v>
      </c>
      <c r="S34" s="40">
        <v>1</v>
      </c>
      <c r="T34" s="40">
        <v>0</v>
      </c>
      <c r="U34" s="42">
        <v>1</v>
      </c>
      <c r="V34" s="106" t="s">
        <v>31</v>
      </c>
      <c r="W34" s="51">
        <f>AVERAGE(B34,I34,P34)</f>
      </c>
      <c r="X34" s="51">
        <f>AVERAGE(C34,J34,Q34)</f>
      </c>
      <c r="Y34" s="51">
        <f>AVERAGE(D34,K34,R34)</f>
      </c>
      <c r="Z34" s="51">
        <f>AVERAGE(E34,L34,S34)</f>
      </c>
      <c r="AA34" s="51">
        <f>AVERAGE(G34,N34,U34)</f>
      </c>
      <c r="AB34" s="53">
        <f>STDEV(B34,I34,P34)</f>
      </c>
      <c r="AC34" s="53">
        <f>STDEV(C34,J34,Q34)</f>
      </c>
      <c r="AD34" s="53">
        <f>STDEV(D34,K34,R34)</f>
      </c>
      <c r="AE34" s="53">
        <f>STDEV(E34,L34,S34)</f>
      </c>
      <c r="AF34" s="54">
        <f>STDEV(G34,N34,U34)</f>
      </c>
    </row>
    <row x14ac:dyDescent="0.25" r="35" customHeight="1" ht="128">
      <c r="A35" s="56" t="s">
        <v>62</v>
      </c>
      <c r="B35" s="107">
        <v>1</v>
      </c>
      <c r="C35" s="108">
        <v>5</v>
      </c>
      <c r="D35" s="108">
        <v>0</v>
      </c>
      <c r="E35" s="108">
        <v>1</v>
      </c>
      <c r="F35" s="109">
        <v>0</v>
      </c>
      <c r="G35" s="110">
        <v>4</v>
      </c>
      <c r="H35" s="111" t="s">
        <v>63</v>
      </c>
      <c r="I35" s="65">
        <v>0</v>
      </c>
      <c r="J35" s="66">
        <v>5</v>
      </c>
      <c r="K35" s="66">
        <v>0</v>
      </c>
      <c r="L35" s="66">
        <v>1</v>
      </c>
      <c r="M35" s="66">
        <v>0</v>
      </c>
      <c r="N35" s="68">
        <v>1</v>
      </c>
      <c r="O35" s="111" t="s">
        <v>64</v>
      </c>
      <c r="P35" s="65">
        <v>0</v>
      </c>
      <c r="Q35" s="66">
        <v>4</v>
      </c>
      <c r="R35" s="66">
        <v>0</v>
      </c>
      <c r="S35" s="66">
        <v>1</v>
      </c>
      <c r="T35" s="66">
        <v>0</v>
      </c>
      <c r="U35" s="67">
        <v>1</v>
      </c>
      <c r="V35" s="77" t="s">
        <v>65</v>
      </c>
      <c r="W35" s="78">
        <f>AVERAGE(B35,I35,P35)</f>
      </c>
      <c r="X35" s="78">
        <f>AVERAGE(C35,J35,Q35)</f>
      </c>
      <c r="Y35" s="78">
        <f>AVERAGE(D35,K35,R35)</f>
      </c>
      <c r="Z35" s="78">
        <f>AVERAGE(E35,L35,S35)</f>
      </c>
      <c r="AA35" s="78">
        <f>AVERAGE(G35,N35,U35)</f>
      </c>
      <c r="AB35" s="80">
        <f>STDEV(B35,I35,P35)</f>
      </c>
      <c r="AC35" s="80">
        <f>STDEV(C35,J35,Q35)</f>
      </c>
      <c r="AD35" s="80">
        <f>STDEV(D35,K35,R35)</f>
      </c>
      <c r="AE35" s="80">
        <f>STDEV(E35,L35,S35)</f>
      </c>
      <c r="AF35" s="81">
        <f>STDEV(G35,N35,U35)</f>
      </c>
    </row>
    <row x14ac:dyDescent="0.25" r="36" customHeight="1" ht="16.5">
      <c r="A36" s="14"/>
      <c r="B36" s="11"/>
      <c r="C36" s="11"/>
      <c r="D36" s="11"/>
      <c r="E36" s="11"/>
      <c r="F36" s="11"/>
      <c r="G36" s="11"/>
      <c r="H36" s="12"/>
      <c r="I36" s="13"/>
      <c r="J36" s="13"/>
      <c r="K36" s="13"/>
      <c r="L36" s="13"/>
      <c r="M36" s="13"/>
      <c r="N36" s="13"/>
      <c r="O36" s="14"/>
      <c r="P36" s="13"/>
      <c r="Q36" s="13"/>
      <c r="R36" s="13"/>
      <c r="S36" s="13"/>
      <c r="T36" s="13"/>
      <c r="U36" s="13"/>
      <c r="V36" s="14"/>
      <c r="W36" s="15"/>
      <c r="X36" s="15"/>
      <c r="Y36" s="15"/>
      <c r="Z36" s="15"/>
      <c r="AA36" s="15"/>
      <c r="AB36" s="15"/>
      <c r="AC36" s="15"/>
      <c r="AD36" s="15"/>
      <c r="AE36" s="15"/>
      <c r="AF36" s="15"/>
    </row>
    <row x14ac:dyDescent="0.25" r="37" customHeight="1" ht="16.5">
      <c r="A37" s="14"/>
      <c r="B37" s="11"/>
      <c r="C37" s="11"/>
      <c r="D37" s="11"/>
      <c r="E37" s="11"/>
      <c r="F37" s="11"/>
      <c r="G37" s="11"/>
      <c r="H37" s="12"/>
      <c r="I37" s="13"/>
      <c r="J37" s="13"/>
      <c r="K37" s="13"/>
      <c r="L37" s="13"/>
      <c r="M37" s="13"/>
      <c r="N37" s="13"/>
      <c r="O37" s="14"/>
      <c r="P37" s="13"/>
      <c r="Q37" s="13"/>
      <c r="R37" s="13"/>
      <c r="S37" s="13"/>
      <c r="T37" s="13"/>
      <c r="U37" s="13"/>
      <c r="V37" s="14"/>
      <c r="W37" s="15"/>
      <c r="X37" s="15"/>
      <c r="Y37" s="15"/>
      <c r="Z37" s="15"/>
      <c r="AA37" s="15"/>
      <c r="AB37" s="15"/>
      <c r="AC37" s="15"/>
      <c r="AD37" s="15"/>
      <c r="AE37" s="15"/>
      <c r="AF37" s="15"/>
    </row>
    <row x14ac:dyDescent="0.25" r="38" customHeight="1" ht="16.5">
      <c r="A38" s="14"/>
      <c r="B38" s="11"/>
      <c r="C38" s="11"/>
      <c r="D38" s="11"/>
      <c r="E38" s="11"/>
      <c r="F38" s="11"/>
      <c r="G38" s="11"/>
      <c r="H38" s="12"/>
      <c r="I38" s="13"/>
      <c r="J38" s="13"/>
      <c r="K38" s="13"/>
      <c r="L38" s="13"/>
      <c r="M38" s="13"/>
      <c r="N38" s="13"/>
      <c r="O38" s="14"/>
      <c r="P38" s="13"/>
      <c r="Q38" s="13"/>
      <c r="R38" s="13"/>
      <c r="S38" s="13"/>
      <c r="T38" s="13"/>
      <c r="U38" s="13"/>
      <c r="V38" s="14"/>
      <c r="W38" s="15"/>
      <c r="X38" s="15"/>
      <c r="Y38" s="15"/>
      <c r="Z38" s="15"/>
      <c r="AA38" s="15"/>
      <c r="AB38" s="15"/>
      <c r="AC38" s="15"/>
      <c r="AD38" s="15"/>
      <c r="AE38" s="15"/>
      <c r="AF38" s="15"/>
    </row>
    <row x14ac:dyDescent="0.25" r="39" customHeight="1" ht="16.5">
      <c r="A39" s="14"/>
      <c r="B39" s="11"/>
      <c r="C39" s="11"/>
      <c r="D39" s="11"/>
      <c r="E39" s="11"/>
      <c r="F39" s="11"/>
      <c r="G39" s="11"/>
      <c r="H39" s="12"/>
      <c r="I39" s="13"/>
      <c r="J39" s="13"/>
      <c r="K39" s="13"/>
      <c r="L39" s="13"/>
      <c r="M39" s="13"/>
      <c r="N39" s="13"/>
      <c r="O39" s="14"/>
      <c r="P39" s="13"/>
      <c r="Q39" s="13"/>
      <c r="R39" s="13"/>
      <c r="S39" s="13"/>
      <c r="T39" s="13"/>
      <c r="U39" s="13"/>
      <c r="V39" s="14"/>
      <c r="W39" s="15"/>
      <c r="X39" s="15"/>
      <c r="Y39" s="15"/>
      <c r="Z39" s="15"/>
      <c r="AA39" s="15"/>
      <c r="AB39" s="15"/>
      <c r="AC39" s="15"/>
      <c r="AD39" s="15"/>
      <c r="AE39" s="15"/>
      <c r="AF39" s="15"/>
    </row>
    <row x14ac:dyDescent="0.25" r="40" customHeight="1" ht="16.5">
      <c r="A40" s="14"/>
      <c r="B40" s="11"/>
      <c r="C40" s="11"/>
      <c r="D40" s="11"/>
      <c r="E40" s="11"/>
      <c r="F40" s="11"/>
      <c r="G40" s="11"/>
      <c r="H40" s="12"/>
      <c r="I40" s="13"/>
      <c r="J40" s="13"/>
      <c r="K40" s="13"/>
      <c r="L40" s="13"/>
      <c r="M40" s="13"/>
      <c r="N40" s="13"/>
      <c r="O40" s="14"/>
      <c r="P40" s="13"/>
      <c r="Q40" s="13"/>
      <c r="R40" s="13"/>
      <c r="S40" s="13"/>
      <c r="T40" s="13"/>
      <c r="U40" s="13"/>
      <c r="V40" s="14"/>
      <c r="W40" s="15"/>
      <c r="X40" s="15"/>
      <c r="Y40" s="15"/>
      <c r="Z40" s="15"/>
      <c r="AA40" s="15"/>
      <c r="AB40" s="15"/>
      <c r="AC40" s="15"/>
      <c r="AD40" s="15"/>
      <c r="AE40" s="15"/>
      <c r="AF40" s="15"/>
    </row>
    <row x14ac:dyDescent="0.25" r="41" customHeight="1" ht="16.5">
      <c r="A41" s="14"/>
      <c r="B41" s="11"/>
      <c r="C41" s="11"/>
      <c r="D41" s="11"/>
      <c r="E41" s="11"/>
      <c r="F41" s="11"/>
      <c r="G41" s="11"/>
      <c r="H41" s="12"/>
      <c r="I41" s="13"/>
      <c r="J41" s="13"/>
      <c r="K41" s="13"/>
      <c r="L41" s="13"/>
      <c r="M41" s="13"/>
      <c r="N41" s="13"/>
      <c r="O41" s="14"/>
      <c r="P41" s="13"/>
      <c r="Q41" s="13"/>
      <c r="R41" s="13"/>
      <c r="S41" s="13"/>
      <c r="T41" s="13"/>
      <c r="U41" s="13"/>
      <c r="V41" s="14"/>
      <c r="W41" s="15"/>
      <c r="X41" s="15"/>
      <c r="Y41" s="15"/>
      <c r="Z41" s="15"/>
      <c r="AA41" s="15"/>
      <c r="AB41" s="15"/>
      <c r="AC41" s="15"/>
      <c r="AD41" s="15"/>
      <c r="AE41" s="15"/>
      <c r="AF41" s="15"/>
    </row>
    <row x14ac:dyDescent="0.25" r="42" customHeight="1" ht="16.5">
      <c r="A42" s="16" t="s">
        <v>66</v>
      </c>
      <c r="B42" s="17"/>
      <c r="C42" s="17"/>
      <c r="D42" s="17"/>
      <c r="E42" s="17"/>
      <c r="F42" s="17"/>
      <c r="G42" s="17"/>
      <c r="H42" s="16"/>
      <c r="I42" s="17"/>
      <c r="J42" s="17"/>
      <c r="K42" s="17"/>
      <c r="L42" s="17"/>
      <c r="M42" s="17"/>
      <c r="N42" s="17"/>
      <c r="O42" s="16"/>
      <c r="P42" s="17"/>
      <c r="Q42" s="17"/>
      <c r="R42" s="17"/>
      <c r="S42" s="17"/>
      <c r="T42" s="17"/>
      <c r="U42" s="17"/>
      <c r="V42" s="16"/>
      <c r="W42" s="18"/>
      <c r="X42" s="18"/>
      <c r="Y42" s="18"/>
      <c r="Z42" s="18"/>
      <c r="AA42" s="18"/>
      <c r="AB42" s="18"/>
      <c r="AC42" s="18"/>
      <c r="AD42" s="18"/>
      <c r="AE42" s="18"/>
      <c r="AF42" s="18"/>
    </row>
    <row x14ac:dyDescent="0.25" r="43" customHeight="1" ht="16.5">
      <c r="A43" s="14"/>
      <c r="B43" s="11"/>
      <c r="C43" s="11"/>
      <c r="D43" s="11"/>
      <c r="E43" s="11"/>
      <c r="F43" s="11"/>
      <c r="G43" s="11"/>
      <c r="H43" s="12"/>
      <c r="I43" s="13"/>
      <c r="J43" s="13"/>
      <c r="K43" s="13"/>
      <c r="L43" s="13"/>
      <c r="M43" s="13"/>
      <c r="N43" s="13"/>
      <c r="O43" s="14"/>
      <c r="P43" s="13"/>
      <c r="Q43" s="13"/>
      <c r="R43" s="13"/>
      <c r="S43" s="13"/>
      <c r="T43" s="13"/>
      <c r="U43" s="13"/>
      <c r="V43" s="14"/>
      <c r="W43" s="15"/>
      <c r="X43" s="15"/>
      <c r="Y43" s="15"/>
      <c r="Z43" s="15"/>
      <c r="AA43" s="15"/>
      <c r="AB43" s="15"/>
      <c r="AC43" s="15"/>
      <c r="AD43" s="15"/>
      <c r="AE43" s="15"/>
      <c r="AF43" s="15"/>
    </row>
    <row x14ac:dyDescent="0.25" r="44" customHeight="1" ht="16.5">
      <c r="A44" s="14"/>
      <c r="B44" s="19" t="s">
        <v>15</v>
      </c>
      <c r="C44" s="20"/>
      <c r="D44" s="20"/>
      <c r="E44" s="20"/>
      <c r="F44" s="20"/>
      <c r="G44" s="20"/>
      <c r="H44" s="21"/>
      <c r="I44" s="19" t="s">
        <v>16</v>
      </c>
      <c r="J44" s="20"/>
      <c r="K44" s="20"/>
      <c r="L44" s="20"/>
      <c r="M44" s="20"/>
      <c r="N44" s="20"/>
      <c r="O44" s="21"/>
      <c r="P44" s="19" t="s">
        <v>17</v>
      </c>
      <c r="Q44" s="20"/>
      <c r="R44" s="20"/>
      <c r="S44" s="20"/>
      <c r="T44" s="20"/>
      <c r="U44" s="20"/>
      <c r="V44" s="21"/>
      <c r="W44" s="22" t="s">
        <v>18</v>
      </c>
      <c r="X44" s="23"/>
      <c r="Y44" s="23"/>
      <c r="Z44" s="23"/>
      <c r="AA44" s="24"/>
      <c r="AB44" s="22" t="s">
        <v>19</v>
      </c>
      <c r="AC44" s="23"/>
      <c r="AD44" s="23"/>
      <c r="AE44" s="23"/>
      <c r="AF44" s="24"/>
    </row>
    <row x14ac:dyDescent="0.25" r="45" customHeight="1" ht="16.5">
      <c r="A45" s="112" t="s">
        <v>20</v>
      </c>
      <c r="B45" s="113" t="s">
        <v>21</v>
      </c>
      <c r="C45" s="114" t="s">
        <v>22</v>
      </c>
      <c r="D45" s="114" t="s">
        <v>23</v>
      </c>
      <c r="E45" s="114" t="s">
        <v>24</v>
      </c>
      <c r="F45" s="115" t="s">
        <v>25</v>
      </c>
      <c r="G45" s="116" t="s">
        <v>26</v>
      </c>
      <c r="H45" s="117" t="s">
        <v>27</v>
      </c>
      <c r="I45" s="113" t="s">
        <v>21</v>
      </c>
      <c r="J45" s="114" t="s">
        <v>22</v>
      </c>
      <c r="K45" s="114" t="s">
        <v>23</v>
      </c>
      <c r="L45" s="114" t="s">
        <v>24</v>
      </c>
      <c r="M45" s="115" t="s">
        <v>25</v>
      </c>
      <c r="N45" s="116" t="s">
        <v>26</v>
      </c>
      <c r="O45" s="118" t="s">
        <v>27</v>
      </c>
      <c r="P45" s="113" t="s">
        <v>21</v>
      </c>
      <c r="Q45" s="119" t="s">
        <v>22</v>
      </c>
      <c r="R45" s="119" t="s">
        <v>23</v>
      </c>
      <c r="S45" s="119" t="s">
        <v>24</v>
      </c>
      <c r="T45" s="120" t="s">
        <v>25</v>
      </c>
      <c r="U45" s="121" t="s">
        <v>26</v>
      </c>
      <c r="V45" s="117" t="s">
        <v>27</v>
      </c>
      <c r="W45" s="122" t="s">
        <v>21</v>
      </c>
      <c r="X45" s="123" t="s">
        <v>22</v>
      </c>
      <c r="Y45" s="123" t="s">
        <v>23</v>
      </c>
      <c r="Z45" s="123" t="s">
        <v>24</v>
      </c>
      <c r="AA45" s="124" t="s">
        <v>28</v>
      </c>
      <c r="AB45" s="122" t="s">
        <v>21</v>
      </c>
      <c r="AC45" s="123" t="s">
        <v>22</v>
      </c>
      <c r="AD45" s="123" t="s">
        <v>23</v>
      </c>
      <c r="AE45" s="123" t="s">
        <v>24</v>
      </c>
      <c r="AF45" s="124" t="s">
        <v>28</v>
      </c>
    </row>
    <row x14ac:dyDescent="0.25" r="46" customHeight="1" ht="67">
      <c r="A46" s="49" t="s">
        <v>67</v>
      </c>
      <c r="B46" s="103">
        <v>1</v>
      </c>
      <c r="C46" s="46">
        <v>5</v>
      </c>
      <c r="D46" s="46">
        <v>0</v>
      </c>
      <c r="E46" s="46">
        <v>1</v>
      </c>
      <c r="F46" s="47">
        <v>0</v>
      </c>
      <c r="G46" s="48">
        <v>1</v>
      </c>
      <c r="H46" s="104" t="s">
        <v>68</v>
      </c>
      <c r="I46" s="125">
        <v>0</v>
      </c>
      <c r="J46" s="92">
        <v>4</v>
      </c>
      <c r="K46" s="92">
        <v>0</v>
      </c>
      <c r="L46" s="92">
        <v>1</v>
      </c>
      <c r="M46" s="93">
        <v>1</v>
      </c>
      <c r="N46" s="126">
        <v>1</v>
      </c>
      <c r="O46" s="127" t="s">
        <v>69</v>
      </c>
      <c r="P46" s="103">
        <v>0</v>
      </c>
      <c r="Q46" s="46">
        <v>5</v>
      </c>
      <c r="R46" s="46">
        <v>1</v>
      </c>
      <c r="S46" s="46">
        <v>1</v>
      </c>
      <c r="T46" s="47">
        <v>1</v>
      </c>
      <c r="U46" s="48">
        <v>1</v>
      </c>
      <c r="V46" s="128" t="s">
        <v>70</v>
      </c>
      <c r="W46" s="129">
        <f>AVERAGE(B46,I46,P46)</f>
      </c>
      <c r="X46" s="129">
        <f>AVERAGE(C46,J46,Q46)</f>
      </c>
      <c r="Y46" s="129">
        <f>AVERAGE(D46,K46,R46)</f>
      </c>
      <c r="Z46" s="129">
        <f>AVERAGE(E46,L46,S46)</f>
      </c>
      <c r="AA46" s="130">
        <f>AVERAGE(G46,N46,U46)</f>
      </c>
      <c r="AB46" s="53">
        <f>STDEV(B46,I46,P46)</f>
      </c>
      <c r="AC46" s="53">
        <f>STDEV(C46,J46,Q46)</f>
      </c>
      <c r="AD46" s="53">
        <f>STDEV(D46,K46,R46)</f>
      </c>
      <c r="AE46" s="53">
        <f>STDEV(E46,L46,S46)</f>
      </c>
      <c r="AF46" s="54">
        <f>STDEV(G46,N46,U46)</f>
      </c>
    </row>
    <row x14ac:dyDescent="0.25" r="47" customHeight="1" ht="78">
      <c r="A47" s="131" t="s">
        <v>71</v>
      </c>
      <c r="B47" s="39">
        <v>0</v>
      </c>
      <c r="C47" s="40">
        <v>5</v>
      </c>
      <c r="D47" s="132">
        <v>0</v>
      </c>
      <c r="E47" s="40">
        <v>1</v>
      </c>
      <c r="F47" s="42">
        <v>0</v>
      </c>
      <c r="G47" s="55">
        <v>0</v>
      </c>
      <c r="H47" s="102"/>
      <c r="I47" s="39">
        <v>2</v>
      </c>
      <c r="J47" s="40">
        <v>6</v>
      </c>
      <c r="K47" s="40">
        <v>0</v>
      </c>
      <c r="L47" s="40">
        <v>1</v>
      </c>
      <c r="M47" s="42">
        <v>0</v>
      </c>
      <c r="N47" s="55">
        <v>0</v>
      </c>
      <c r="O47" s="133" t="s">
        <v>72</v>
      </c>
      <c r="P47" s="39">
        <v>1</v>
      </c>
      <c r="Q47" s="40">
        <v>7</v>
      </c>
      <c r="R47" s="40">
        <v>0</v>
      </c>
      <c r="S47" s="40">
        <v>1</v>
      </c>
      <c r="T47" s="40">
        <v>0</v>
      </c>
      <c r="U47" s="134">
        <v>0</v>
      </c>
      <c r="V47" s="56" t="s">
        <v>73</v>
      </c>
      <c r="W47" s="129">
        <f>AVERAGE(B47,I47,P47)</f>
      </c>
      <c r="X47" s="129">
        <f>AVERAGE(C47,J47,Q47)</f>
      </c>
      <c r="Y47" s="129">
        <f>AVERAGE(D47,K47,R47)</f>
      </c>
      <c r="Z47" s="129">
        <f>AVERAGE(E47,L47,S47)</f>
      </c>
      <c r="AA47" s="130">
        <f>AVERAGE(G47,N47,U47)</f>
      </c>
      <c r="AB47" s="53">
        <f>STDEV(B47,I47,P47)</f>
      </c>
      <c r="AC47" s="53">
        <f>STDEV(C47,J47,Q47)</f>
      </c>
      <c r="AD47" s="53">
        <f>STDEV(D47,K47,R47)</f>
      </c>
      <c r="AE47" s="53">
        <f>STDEV(E47,L47,S47)</f>
      </c>
      <c r="AF47" s="54">
        <f>STDEV(G47,N47,U47)</f>
      </c>
    </row>
    <row x14ac:dyDescent="0.25" r="48" customHeight="1" ht="168">
      <c r="A48" s="135" t="s">
        <v>74</v>
      </c>
      <c r="B48" s="39">
        <v>3</v>
      </c>
      <c r="C48" s="40">
        <v>3</v>
      </c>
      <c r="D48" s="40">
        <v>0</v>
      </c>
      <c r="E48" s="40">
        <v>1</v>
      </c>
      <c r="F48" s="42">
        <v>0</v>
      </c>
      <c r="G48" s="55">
        <v>0</v>
      </c>
      <c r="H48" s="102" t="s">
        <v>75</v>
      </c>
      <c r="I48" s="39">
        <v>2</v>
      </c>
      <c r="J48" s="40">
        <v>5</v>
      </c>
      <c r="K48" s="40">
        <v>0</v>
      </c>
      <c r="L48" s="40">
        <v>1</v>
      </c>
      <c r="M48" s="42">
        <v>0</v>
      </c>
      <c r="N48" s="55">
        <v>0</v>
      </c>
      <c r="O48" s="133" t="s">
        <v>76</v>
      </c>
      <c r="P48" s="136">
        <v>0</v>
      </c>
      <c r="Q48" s="137">
        <v>5</v>
      </c>
      <c r="R48" s="137">
        <v>0</v>
      </c>
      <c r="S48" s="138">
        <v>1</v>
      </c>
      <c r="T48" s="138">
        <v>1</v>
      </c>
      <c r="U48" s="139">
        <v>1</v>
      </c>
      <c r="V48" s="131" t="s">
        <v>77</v>
      </c>
      <c r="W48" s="129">
        <f>AVERAGE(B48,I48,P48)</f>
      </c>
      <c r="X48" s="129">
        <f>AVERAGE(C48,J48,Q48)</f>
      </c>
      <c r="Y48" s="129">
        <f>AVERAGE(D48,K48,R48)</f>
      </c>
      <c r="Z48" s="129">
        <f>AVERAGE(E48,L48,S48)</f>
      </c>
      <c r="AA48" s="130">
        <f>AVERAGE(G48,N48,U48)</f>
      </c>
      <c r="AB48" s="53">
        <f>STDEV(B48,I48,P48)</f>
      </c>
      <c r="AC48" s="53">
        <f>STDEV(C48,J48,Q48)</f>
      </c>
      <c r="AD48" s="53">
        <f>STDEV(D48,K48,R48)</f>
      </c>
      <c r="AE48" s="53">
        <f>STDEV(E48,L48,S48)</f>
      </c>
      <c r="AF48" s="54">
        <f>STDEV(G48,N48,U48)</f>
      </c>
    </row>
    <row x14ac:dyDescent="0.25" r="49" customHeight="1" ht="72">
      <c r="A49" s="140" t="s">
        <v>78</v>
      </c>
      <c r="B49" s="65">
        <v>1</v>
      </c>
      <c r="C49" s="66">
        <v>4</v>
      </c>
      <c r="D49" s="66">
        <v>0</v>
      </c>
      <c r="E49" s="66">
        <v>0</v>
      </c>
      <c r="F49" s="67">
        <v>0</v>
      </c>
      <c r="G49" s="68">
        <v>2</v>
      </c>
      <c r="H49" s="111" t="s">
        <v>79</v>
      </c>
      <c r="I49" s="65">
        <v>0</v>
      </c>
      <c r="J49" s="66">
        <v>5</v>
      </c>
      <c r="K49" s="66">
        <v>1</v>
      </c>
      <c r="L49" s="66">
        <v>0</v>
      </c>
      <c r="M49" s="67">
        <v>0</v>
      </c>
      <c r="N49" s="68">
        <v>1</v>
      </c>
      <c r="O49" s="141" t="s">
        <v>80</v>
      </c>
      <c r="P49" s="65">
        <v>0</v>
      </c>
      <c r="Q49" s="66">
        <v>6</v>
      </c>
      <c r="R49" s="66">
        <v>0</v>
      </c>
      <c r="S49" s="66">
        <v>0</v>
      </c>
      <c r="T49" s="67">
        <v>0</v>
      </c>
      <c r="U49" s="68">
        <v>2</v>
      </c>
      <c r="V49" s="69" t="s">
        <v>81</v>
      </c>
      <c r="W49" s="78">
        <f>AVERAGE(B49,I49,P49)</f>
      </c>
      <c r="X49" s="78">
        <f>AVERAGE(C49,J49,Q49)</f>
      </c>
      <c r="Y49" s="78">
        <f>AVERAGE(D49,K49,R49)</f>
      </c>
      <c r="Z49" s="78">
        <f>AVERAGE(E49,L49,S49)</f>
      </c>
      <c r="AA49" s="79">
        <f>AVERAGE(G49,N49,U49)</f>
      </c>
      <c r="AB49" s="80">
        <f>STDEV(B49,I49,P49)</f>
      </c>
      <c r="AC49" s="80">
        <f>STDEV(C49,J49,Q49)</f>
      </c>
      <c r="AD49" s="80">
        <f>STDEV(D49,K49,R49)</f>
      </c>
      <c r="AE49" s="80">
        <f>STDEV(E49,L49,S49)</f>
      </c>
      <c r="AF49" s="81">
        <f>STDEV(G49,N49,U49)</f>
      </c>
    </row>
    <row x14ac:dyDescent="0.25" r="50" customHeight="1" ht="16.5">
      <c r="A50" s="14"/>
      <c r="B50" s="11"/>
      <c r="C50" s="11"/>
      <c r="D50" s="11"/>
      <c r="E50" s="11"/>
      <c r="F50" s="11"/>
      <c r="G50" s="11"/>
      <c r="H50" s="12"/>
      <c r="I50" s="13"/>
      <c r="J50" s="13"/>
      <c r="K50" s="13"/>
      <c r="L50" s="13"/>
      <c r="M50" s="13"/>
      <c r="N50" s="13"/>
      <c r="O50" s="14"/>
      <c r="P50" s="13"/>
      <c r="Q50" s="13"/>
      <c r="R50" s="13"/>
      <c r="S50" s="13"/>
      <c r="T50" s="13"/>
      <c r="U50" s="13"/>
      <c r="V50" s="14"/>
      <c r="W50" s="15"/>
      <c r="X50" s="15"/>
      <c r="Y50" s="15"/>
      <c r="Z50" s="15"/>
      <c r="AA50" s="15"/>
      <c r="AB50" s="82"/>
      <c r="AC50" s="15"/>
      <c r="AD50" s="15"/>
      <c r="AE50" s="15"/>
      <c r="AF50" s="15"/>
    </row>
    <row x14ac:dyDescent="0.25" r="51" customHeight="1" ht="16.5">
      <c r="A51" s="14"/>
      <c r="B51" s="11"/>
      <c r="C51" s="11"/>
      <c r="D51" s="11"/>
      <c r="E51" s="11"/>
      <c r="F51" s="11"/>
      <c r="G51" s="11"/>
      <c r="H51" s="12"/>
      <c r="I51" s="13"/>
      <c r="J51" s="13"/>
      <c r="K51" s="13"/>
      <c r="L51" s="13"/>
      <c r="M51" s="13"/>
      <c r="N51" s="13"/>
      <c r="O51" s="14"/>
      <c r="P51" s="13"/>
      <c r="Q51" s="13"/>
      <c r="R51" s="13"/>
      <c r="S51" s="13"/>
      <c r="T51" s="13"/>
      <c r="U51" s="13"/>
      <c r="V51" s="14"/>
      <c r="W51" s="15"/>
      <c r="X51" s="15"/>
      <c r="Y51" s="15"/>
      <c r="Z51" s="15"/>
      <c r="AA51" s="15"/>
      <c r="AB51" s="15"/>
      <c r="AC51" s="15"/>
      <c r="AD51" s="15"/>
      <c r="AE51" s="15"/>
      <c r="AF51" s="15"/>
    </row>
    <row x14ac:dyDescent="0.25" r="52" customHeight="1" ht="16.5">
      <c r="A52" s="14"/>
      <c r="B52" s="11"/>
      <c r="C52" s="11"/>
      <c r="D52" s="11"/>
      <c r="E52" s="11"/>
      <c r="F52" s="11"/>
      <c r="G52" s="11"/>
      <c r="H52" s="12"/>
      <c r="I52" s="13"/>
      <c r="J52" s="13"/>
      <c r="K52" s="13"/>
      <c r="L52" s="13"/>
      <c r="M52" s="13"/>
      <c r="N52" s="13"/>
      <c r="O52" s="14"/>
      <c r="P52" s="13"/>
      <c r="Q52" s="13"/>
      <c r="R52" s="13"/>
      <c r="S52" s="13"/>
      <c r="T52" s="13"/>
      <c r="U52" s="13"/>
      <c r="V52" s="14"/>
      <c r="W52" s="15"/>
      <c r="X52" s="15"/>
      <c r="Y52" s="15"/>
      <c r="Z52" s="15"/>
      <c r="AA52" s="15"/>
      <c r="AB52" s="15"/>
      <c r="AC52" s="15"/>
      <c r="AD52" s="15"/>
      <c r="AE52" s="15"/>
      <c r="AF52" s="15"/>
    </row>
    <row x14ac:dyDescent="0.25" r="53" customHeight="1" ht="16.5">
      <c r="A53" s="14"/>
      <c r="B53" s="19" t="s">
        <v>15</v>
      </c>
      <c r="C53" s="20"/>
      <c r="D53" s="20"/>
      <c r="E53" s="20"/>
      <c r="F53" s="20"/>
      <c r="G53" s="20"/>
      <c r="H53" s="83"/>
      <c r="I53" s="84" t="s">
        <v>16</v>
      </c>
      <c r="J53" s="85"/>
      <c r="K53" s="85"/>
      <c r="L53" s="85"/>
      <c r="M53" s="85"/>
      <c r="N53" s="85"/>
      <c r="O53" s="21"/>
      <c r="P53" s="19" t="s">
        <v>17</v>
      </c>
      <c r="Q53" s="20"/>
      <c r="R53" s="20"/>
      <c r="S53" s="20"/>
      <c r="T53" s="20"/>
      <c r="U53" s="20"/>
      <c r="V53" s="21"/>
      <c r="W53" s="22" t="s">
        <v>18</v>
      </c>
      <c r="X53" s="23"/>
      <c r="Y53" s="23"/>
      <c r="Z53" s="23"/>
      <c r="AA53" s="24"/>
      <c r="AB53" s="22" t="s">
        <v>19</v>
      </c>
      <c r="AC53" s="23"/>
      <c r="AD53" s="23"/>
      <c r="AE53" s="23"/>
      <c r="AF53" s="24"/>
    </row>
    <row x14ac:dyDescent="0.25" r="54" customHeight="1" ht="16.5">
      <c r="A54" s="112" t="s">
        <v>20</v>
      </c>
      <c r="B54" s="113" t="s">
        <v>21</v>
      </c>
      <c r="C54" s="114" t="s">
        <v>22</v>
      </c>
      <c r="D54" s="114" t="s">
        <v>23</v>
      </c>
      <c r="E54" s="114" t="s">
        <v>24</v>
      </c>
      <c r="F54" s="115" t="s">
        <v>25</v>
      </c>
      <c r="G54" s="116" t="s">
        <v>26</v>
      </c>
      <c r="H54" s="117" t="s">
        <v>27</v>
      </c>
      <c r="I54" s="113" t="s">
        <v>21</v>
      </c>
      <c r="J54" s="114" t="s">
        <v>22</v>
      </c>
      <c r="K54" s="114" t="s">
        <v>23</v>
      </c>
      <c r="L54" s="114" t="s">
        <v>24</v>
      </c>
      <c r="M54" s="115" t="s">
        <v>25</v>
      </c>
      <c r="N54" s="116" t="s">
        <v>26</v>
      </c>
      <c r="O54" s="142" t="s">
        <v>27</v>
      </c>
      <c r="P54" s="113" t="s">
        <v>21</v>
      </c>
      <c r="Q54" s="119" t="s">
        <v>22</v>
      </c>
      <c r="R54" s="119" t="s">
        <v>23</v>
      </c>
      <c r="S54" s="119" t="s">
        <v>24</v>
      </c>
      <c r="T54" s="120" t="s">
        <v>25</v>
      </c>
      <c r="U54" s="121" t="s">
        <v>26</v>
      </c>
      <c r="V54" s="117" t="s">
        <v>27</v>
      </c>
      <c r="W54" s="122" t="s">
        <v>21</v>
      </c>
      <c r="X54" s="123" t="s">
        <v>22</v>
      </c>
      <c r="Y54" s="123" t="s">
        <v>23</v>
      </c>
      <c r="Z54" s="123" t="s">
        <v>24</v>
      </c>
      <c r="AA54" s="124" t="s">
        <v>28</v>
      </c>
      <c r="AB54" s="122" t="s">
        <v>21</v>
      </c>
      <c r="AC54" s="123" t="s">
        <v>22</v>
      </c>
      <c r="AD54" s="123" t="s">
        <v>23</v>
      </c>
      <c r="AE54" s="123" t="s">
        <v>24</v>
      </c>
      <c r="AF54" s="124" t="s">
        <v>28</v>
      </c>
    </row>
    <row x14ac:dyDescent="0.25" r="55" customHeight="1" ht="16.5">
      <c r="A55" s="44" t="s">
        <v>82</v>
      </c>
      <c r="B55" s="143">
        <v>1</v>
      </c>
      <c r="C55" s="46">
        <v>11</v>
      </c>
      <c r="D55" s="46">
        <v>2</v>
      </c>
      <c r="E55" s="46">
        <v>1</v>
      </c>
      <c r="F55" s="47">
        <v>2</v>
      </c>
      <c r="G55" s="48">
        <v>2</v>
      </c>
      <c r="H55" s="104" t="s">
        <v>83</v>
      </c>
      <c r="I55" s="125">
        <v>1</v>
      </c>
      <c r="J55" s="92">
        <v>7</v>
      </c>
      <c r="K55" s="92">
        <v>0</v>
      </c>
      <c r="L55" s="92">
        <v>1</v>
      </c>
      <c r="M55" s="93">
        <v>0</v>
      </c>
      <c r="N55" s="126">
        <v>0</v>
      </c>
      <c r="O55" s="144" t="s">
        <v>41</v>
      </c>
      <c r="P55" s="103">
        <v>0</v>
      </c>
      <c r="Q55" s="46">
        <v>7</v>
      </c>
      <c r="R55" s="46">
        <v>1</v>
      </c>
      <c r="S55" s="46">
        <v>1</v>
      </c>
      <c r="T55" s="47">
        <v>0</v>
      </c>
      <c r="U55" s="48">
        <v>1</v>
      </c>
      <c r="V55" s="106" t="s">
        <v>31</v>
      </c>
      <c r="W55" s="129">
        <f>AVERAGE(B55,I55,P55)</f>
      </c>
      <c r="X55" s="129">
        <f>AVERAGE(C55,J55,Q55)</f>
      </c>
      <c r="Y55" s="129">
        <f>AVERAGE(D55,K55,R55)</f>
      </c>
      <c r="Z55" s="129">
        <f>AVERAGE(E55,L55,S55)</f>
      </c>
      <c r="AA55" s="130">
        <f>AVERAGE(G55,N55,U55)</f>
      </c>
      <c r="AB55" s="53">
        <f>STDEV(B55,I55,P55)</f>
      </c>
      <c r="AC55" s="53">
        <f>STDEV(C55,J55,Q55)</f>
      </c>
      <c r="AD55" s="53">
        <f>STDEV(D55,K55,R55)</f>
      </c>
      <c r="AE55" s="53">
        <f>STDEV(E55,L55,S55)</f>
      </c>
      <c r="AF55" s="54">
        <f>STDEV(G55,N55,U55)</f>
      </c>
    </row>
    <row x14ac:dyDescent="0.25" r="56" customHeight="1" ht="16.5">
      <c r="A56" s="56" t="s">
        <v>84</v>
      </c>
      <c r="B56" s="100">
        <v>1</v>
      </c>
      <c r="C56" s="40">
        <v>7</v>
      </c>
      <c r="D56" s="40">
        <v>0</v>
      </c>
      <c r="E56" s="40">
        <v>1</v>
      </c>
      <c r="F56" s="42">
        <v>0</v>
      </c>
      <c r="G56" s="55">
        <v>0</v>
      </c>
      <c r="H56" s="102" t="s">
        <v>85</v>
      </c>
      <c r="I56" s="39">
        <v>1</v>
      </c>
      <c r="J56" s="40">
        <v>7</v>
      </c>
      <c r="K56" s="40">
        <v>0</v>
      </c>
      <c r="L56" s="40">
        <v>1</v>
      </c>
      <c r="M56" s="42">
        <v>0</v>
      </c>
      <c r="N56" s="55">
        <v>0</v>
      </c>
      <c r="O56" s="133" t="s">
        <v>86</v>
      </c>
      <c r="P56" s="39">
        <v>1</v>
      </c>
      <c r="Q56" s="40">
        <v>10</v>
      </c>
      <c r="R56" s="40">
        <v>0</v>
      </c>
      <c r="S56" s="40">
        <v>1</v>
      </c>
      <c r="T56" s="42">
        <v>2</v>
      </c>
      <c r="U56" s="55">
        <v>2</v>
      </c>
      <c r="V56" s="56" t="s">
        <v>87</v>
      </c>
      <c r="W56" s="51">
        <f>AVERAGE(B56,I56,P56)</f>
      </c>
      <c r="X56" s="51">
        <f>AVERAGE(C56,J56,Q56)</f>
      </c>
      <c r="Y56" s="51">
        <f>AVERAGE(D56,K56,R56)</f>
      </c>
      <c r="Z56" s="51">
        <f>AVERAGE(E56,L56,S56)</f>
      </c>
      <c r="AA56" s="52">
        <f>AVERAGE(G56,N56,U56)</f>
      </c>
      <c r="AB56" s="53">
        <f>STDEV(B56,I56,P56)</f>
      </c>
      <c r="AC56" s="53">
        <f>STDEV(C56,J56,Q56)</f>
      </c>
      <c r="AD56" s="53">
        <f>STDEV(D56,K56,R56)</f>
      </c>
      <c r="AE56" s="53">
        <f>STDEV(E56,L56,S56)</f>
      </c>
      <c r="AF56" s="54">
        <f>STDEV(G56,N56,U56)</f>
      </c>
    </row>
    <row x14ac:dyDescent="0.25" r="57" customHeight="1" ht="16.5">
      <c r="A57" s="56" t="s">
        <v>88</v>
      </c>
      <c r="B57" s="100">
        <v>2</v>
      </c>
      <c r="C57" s="40">
        <v>6</v>
      </c>
      <c r="D57" s="40">
        <v>0</v>
      </c>
      <c r="E57" s="40">
        <v>1</v>
      </c>
      <c r="F57" s="42">
        <v>0</v>
      </c>
      <c r="G57" s="55">
        <v>1</v>
      </c>
      <c r="H57" s="102" t="s">
        <v>89</v>
      </c>
      <c r="I57" s="39">
        <v>1</v>
      </c>
      <c r="J57" s="40">
        <v>5</v>
      </c>
      <c r="K57" s="40">
        <v>0</v>
      </c>
      <c r="L57" s="40">
        <v>1</v>
      </c>
      <c r="M57" s="42">
        <v>0</v>
      </c>
      <c r="N57" s="55">
        <v>1</v>
      </c>
      <c r="O57" s="133" t="s">
        <v>90</v>
      </c>
      <c r="P57" s="39">
        <v>1</v>
      </c>
      <c r="Q57" s="40">
        <v>5</v>
      </c>
      <c r="R57" s="40">
        <v>0</v>
      </c>
      <c r="S57" s="40">
        <v>1</v>
      </c>
      <c r="T57" s="42">
        <v>0</v>
      </c>
      <c r="U57" s="55">
        <v>1</v>
      </c>
      <c r="V57" s="56" t="s">
        <v>91</v>
      </c>
      <c r="W57" s="51">
        <f>AVERAGE(B57,I57,P57)</f>
      </c>
      <c r="X57" s="51">
        <f>AVERAGE(C57,J57,Q57)</f>
      </c>
      <c r="Y57" s="51">
        <f>AVERAGE(D57,K57,R57)</f>
      </c>
      <c r="Z57" s="51">
        <f>AVERAGE(E57,L57,S57)</f>
      </c>
      <c r="AA57" s="52">
        <f>AVERAGE(G57,N57,U57)</f>
      </c>
      <c r="AB57" s="53">
        <f>STDEV(B57,I57,P57)</f>
      </c>
      <c r="AC57" s="53">
        <f>STDEV(C57,J57,Q57)</f>
      </c>
      <c r="AD57" s="53">
        <f>STDEV(D57,K57,R57)</f>
      </c>
      <c r="AE57" s="53">
        <f>STDEV(E57,L57,S57)</f>
      </c>
      <c r="AF57" s="54">
        <f>STDEV(G57,N57,U57)</f>
      </c>
    </row>
    <row x14ac:dyDescent="0.25" r="58" customHeight="1" ht="16.5">
      <c r="A58" s="69" t="s">
        <v>92</v>
      </c>
      <c r="B58" s="65">
        <v>3</v>
      </c>
      <c r="C58" s="66">
        <v>7</v>
      </c>
      <c r="D58" s="66">
        <v>0</v>
      </c>
      <c r="E58" s="66">
        <v>1</v>
      </c>
      <c r="F58" s="67">
        <v>1</v>
      </c>
      <c r="G58" s="68">
        <v>1</v>
      </c>
      <c r="H58" s="111" t="s">
        <v>93</v>
      </c>
      <c r="I58" s="65">
        <v>2</v>
      </c>
      <c r="J58" s="66">
        <v>5</v>
      </c>
      <c r="K58" s="66">
        <v>0</v>
      </c>
      <c r="L58" s="66">
        <v>1</v>
      </c>
      <c r="M58" s="67">
        <v>0</v>
      </c>
      <c r="N58" s="68">
        <v>0</v>
      </c>
      <c r="O58" s="141" t="s">
        <v>94</v>
      </c>
      <c r="P58" s="65">
        <v>2</v>
      </c>
      <c r="Q58" s="66">
        <v>5</v>
      </c>
      <c r="R58" s="66">
        <v>0</v>
      </c>
      <c r="S58" s="66">
        <v>1</v>
      </c>
      <c r="T58" s="67">
        <v>0</v>
      </c>
      <c r="U58" s="68">
        <v>1</v>
      </c>
      <c r="V58" s="141" t="s">
        <v>95</v>
      </c>
      <c r="W58" s="78">
        <f>AVERAGE(B58,I58,P58)</f>
      </c>
      <c r="X58" s="78">
        <f>AVERAGE(C58,J58,Q58)</f>
      </c>
      <c r="Y58" s="78">
        <f>AVERAGE(D58,K58,R58)</f>
      </c>
      <c r="Z58" s="78">
        <f>AVERAGE(E58,L58,S58)</f>
      </c>
      <c r="AA58" s="79">
        <f>AVERAGE(G58,N58,U58)</f>
      </c>
      <c r="AB58" s="80">
        <f>STDEV(B58,I58,P58)</f>
      </c>
      <c r="AC58" s="80">
        <f>STDEV(C58,J58,Q58)</f>
      </c>
      <c r="AD58" s="80">
        <f>STDEV(D58,K58,R58)</f>
      </c>
      <c r="AE58" s="80">
        <f>STDEV(E58,L58,S58)</f>
      </c>
      <c r="AF58" s="81">
        <f>STDEV(G58,N58,U58)</f>
      </c>
    </row>
    <row x14ac:dyDescent="0.25" r="59" customHeight="1" ht="16.5">
      <c r="A59" s="14"/>
      <c r="B59" s="11"/>
      <c r="C59" s="11"/>
      <c r="D59" s="11"/>
      <c r="E59" s="11"/>
      <c r="F59" s="11"/>
      <c r="G59" s="11"/>
      <c r="H59" s="12"/>
      <c r="I59" s="13"/>
      <c r="J59" s="13"/>
      <c r="K59" s="13"/>
      <c r="L59" s="13"/>
      <c r="M59" s="13"/>
      <c r="N59" s="13"/>
      <c r="O59" s="14"/>
      <c r="P59" s="13"/>
      <c r="Q59" s="13"/>
      <c r="R59" s="13"/>
      <c r="S59" s="13"/>
      <c r="T59" s="13"/>
      <c r="U59" s="13"/>
      <c r="V59" s="14"/>
      <c r="W59" s="15"/>
      <c r="X59" s="15"/>
      <c r="Y59" s="15"/>
      <c r="Z59" s="15"/>
      <c r="AA59" s="15"/>
      <c r="AB59" s="15"/>
      <c r="AC59" s="15"/>
      <c r="AD59" s="15"/>
      <c r="AE59" s="15"/>
      <c r="AF59" s="15"/>
    </row>
    <row x14ac:dyDescent="0.25" r="60" customHeight="1" ht="16.5">
      <c r="A60" s="14"/>
      <c r="B60" s="11"/>
      <c r="C60" s="11"/>
      <c r="D60" s="11"/>
      <c r="E60" s="11"/>
      <c r="F60" s="11"/>
      <c r="G60" s="11"/>
      <c r="H60" s="12"/>
      <c r="I60" s="13"/>
      <c r="J60" s="13"/>
      <c r="K60" s="13"/>
      <c r="L60" s="13"/>
      <c r="M60" s="13"/>
      <c r="N60" s="13"/>
      <c r="O60" s="14"/>
      <c r="P60" s="13"/>
      <c r="Q60" s="13"/>
      <c r="R60" s="13"/>
      <c r="S60" s="13"/>
      <c r="T60" s="13"/>
      <c r="U60" s="13"/>
      <c r="V60" s="14"/>
      <c r="W60" s="15"/>
      <c r="X60" s="15"/>
      <c r="Y60" s="15"/>
      <c r="Z60" s="15"/>
      <c r="AA60" s="15"/>
      <c r="AB60" s="15"/>
      <c r="AC60" s="15"/>
      <c r="AD60" s="15"/>
      <c r="AE60" s="15"/>
      <c r="AF60" s="15"/>
    </row>
    <row x14ac:dyDescent="0.25" r="61" customHeight="1" ht="16.5">
      <c r="A61" s="14"/>
      <c r="B61" s="11"/>
      <c r="C61" s="11"/>
      <c r="D61" s="11"/>
      <c r="E61" s="11"/>
      <c r="F61" s="11"/>
      <c r="G61" s="11"/>
      <c r="H61" s="12"/>
      <c r="I61" s="13"/>
      <c r="J61" s="13"/>
      <c r="K61" s="13"/>
      <c r="L61" s="13"/>
      <c r="M61" s="13"/>
      <c r="N61" s="13"/>
      <c r="O61" s="14"/>
      <c r="P61" s="13"/>
      <c r="Q61" s="13"/>
      <c r="R61" s="13"/>
      <c r="S61" s="13"/>
      <c r="T61" s="13"/>
      <c r="U61" s="13"/>
      <c r="V61" s="14"/>
      <c r="W61" s="15"/>
      <c r="X61" s="15"/>
      <c r="Y61" s="15"/>
      <c r="Z61" s="15"/>
      <c r="AA61" s="15"/>
      <c r="AB61" s="15"/>
      <c r="AC61" s="15"/>
      <c r="AD61" s="15"/>
      <c r="AE61" s="15"/>
      <c r="AF61" s="15"/>
    </row>
    <row x14ac:dyDescent="0.25" r="62" customHeight="1" ht="16.5">
      <c r="A62" s="14"/>
      <c r="B62" s="11"/>
      <c r="C62" s="11"/>
      <c r="D62" s="11"/>
      <c r="E62" s="11"/>
      <c r="F62" s="11"/>
      <c r="G62" s="11"/>
      <c r="H62" s="12"/>
      <c r="I62" s="13"/>
      <c r="J62" s="13"/>
      <c r="K62" s="13"/>
      <c r="L62" s="13"/>
      <c r="M62" s="13"/>
      <c r="N62" s="13"/>
      <c r="O62" s="14"/>
      <c r="P62" s="13"/>
      <c r="Q62" s="13"/>
      <c r="R62" s="13"/>
      <c r="S62" s="13"/>
      <c r="T62" s="13"/>
      <c r="U62" s="13"/>
      <c r="V62" s="14"/>
      <c r="W62" s="15"/>
      <c r="X62" s="15"/>
      <c r="Y62" s="15"/>
      <c r="Z62" s="15"/>
      <c r="AA62" s="15"/>
      <c r="AB62" s="15"/>
      <c r="AC62" s="15"/>
      <c r="AD62" s="15"/>
      <c r="AE62" s="15"/>
      <c r="AF62" s="15"/>
    </row>
    <row x14ac:dyDescent="0.25" r="63" customHeight="1" ht="16.5">
      <c r="A63" s="14"/>
      <c r="B63" s="19" t="s">
        <v>15</v>
      </c>
      <c r="C63" s="20"/>
      <c r="D63" s="20"/>
      <c r="E63" s="20"/>
      <c r="F63" s="20"/>
      <c r="G63" s="20"/>
      <c r="H63" s="21"/>
      <c r="I63" s="19" t="s">
        <v>16</v>
      </c>
      <c r="J63" s="20"/>
      <c r="K63" s="20"/>
      <c r="L63" s="20"/>
      <c r="M63" s="20"/>
      <c r="N63" s="20"/>
      <c r="O63" s="21"/>
      <c r="P63" s="19" t="s">
        <v>17</v>
      </c>
      <c r="Q63" s="20"/>
      <c r="R63" s="20"/>
      <c r="S63" s="20"/>
      <c r="T63" s="20"/>
      <c r="U63" s="20"/>
      <c r="V63" s="21"/>
      <c r="W63" s="22" t="s">
        <v>18</v>
      </c>
      <c r="X63" s="23"/>
      <c r="Y63" s="23"/>
      <c r="Z63" s="23"/>
      <c r="AA63" s="24"/>
      <c r="AB63" s="22" t="s">
        <v>19</v>
      </c>
      <c r="AC63" s="23"/>
      <c r="AD63" s="23"/>
      <c r="AE63" s="23"/>
      <c r="AF63" s="24"/>
    </row>
    <row x14ac:dyDescent="0.25" r="64" customHeight="1" ht="16.5">
      <c r="A64" s="25" t="s">
        <v>20</v>
      </c>
      <c r="B64" s="32" t="s">
        <v>21</v>
      </c>
      <c r="C64" s="27" t="s">
        <v>22</v>
      </c>
      <c r="D64" s="27" t="s">
        <v>23</v>
      </c>
      <c r="E64" s="27" t="s">
        <v>24</v>
      </c>
      <c r="F64" s="28" t="s">
        <v>25</v>
      </c>
      <c r="G64" s="29" t="s">
        <v>26</v>
      </c>
      <c r="H64" s="145" t="s">
        <v>27</v>
      </c>
      <c r="I64" s="146" t="s">
        <v>21</v>
      </c>
      <c r="J64" s="87" t="s">
        <v>22</v>
      </c>
      <c r="K64" s="87" t="s">
        <v>23</v>
      </c>
      <c r="L64" s="87" t="s">
        <v>24</v>
      </c>
      <c r="M64" s="88" t="s">
        <v>25</v>
      </c>
      <c r="N64" s="88" t="s">
        <v>26</v>
      </c>
      <c r="O64" s="99" t="s">
        <v>27</v>
      </c>
      <c r="P64" s="32" t="s">
        <v>21</v>
      </c>
      <c r="Q64" s="32" t="s">
        <v>22</v>
      </c>
      <c r="R64" s="32" t="s">
        <v>23</v>
      </c>
      <c r="S64" s="32" t="s">
        <v>24</v>
      </c>
      <c r="T64" s="33" t="s">
        <v>25</v>
      </c>
      <c r="U64" s="34" t="s">
        <v>26</v>
      </c>
      <c r="V64" s="30" t="s">
        <v>27</v>
      </c>
      <c r="W64" s="35" t="s">
        <v>21</v>
      </c>
      <c r="X64" s="36" t="s">
        <v>22</v>
      </c>
      <c r="Y64" s="36" t="s">
        <v>23</v>
      </c>
      <c r="Z64" s="36" t="s">
        <v>24</v>
      </c>
      <c r="AA64" s="37" t="s">
        <v>28</v>
      </c>
      <c r="AB64" s="35" t="s">
        <v>21</v>
      </c>
      <c r="AC64" s="36" t="s">
        <v>22</v>
      </c>
      <c r="AD64" s="36" t="s">
        <v>23</v>
      </c>
      <c r="AE64" s="36" t="s">
        <v>24</v>
      </c>
      <c r="AF64" s="37" t="s">
        <v>28</v>
      </c>
    </row>
    <row x14ac:dyDescent="0.25" r="65" customHeight="1" ht="16.5">
      <c r="A65" s="95" t="s">
        <v>96</v>
      </c>
      <c r="B65" s="147"/>
      <c r="C65" s="148">
        <v>5</v>
      </c>
      <c r="D65" s="148">
        <v>0</v>
      </c>
      <c r="E65" s="148">
        <v>1</v>
      </c>
      <c r="F65" s="149"/>
      <c r="G65" s="150"/>
      <c r="H65" s="49" t="s">
        <v>97</v>
      </c>
      <c r="I65" s="147">
        <v>0</v>
      </c>
      <c r="J65" s="148">
        <v>5</v>
      </c>
      <c r="K65" s="148">
        <v>0</v>
      </c>
      <c r="L65" s="148">
        <v>1</v>
      </c>
      <c r="M65" s="149">
        <v>0</v>
      </c>
      <c r="N65" s="150">
        <v>1</v>
      </c>
      <c r="O65" s="94" t="s">
        <v>31</v>
      </c>
      <c r="P65" s="57">
        <v>0</v>
      </c>
      <c r="Q65" s="40">
        <v>6</v>
      </c>
      <c r="R65" s="40">
        <v>0</v>
      </c>
      <c r="S65" s="40">
        <v>1</v>
      </c>
      <c r="T65" s="42">
        <v>0</v>
      </c>
      <c r="U65" s="55">
        <v>1</v>
      </c>
      <c r="V65" s="106" t="s">
        <v>31</v>
      </c>
      <c r="W65" s="151">
        <f>AVERAGE(B65,I65,P65)</f>
      </c>
      <c r="X65" s="151">
        <f>AVERAGE(C65,J65,Q65)</f>
      </c>
      <c r="Y65" s="151">
        <f>AVERAGE(D65,K65,R65)</f>
      </c>
      <c r="Z65" s="151">
        <f>AVERAGE(E65,L65,S65)</f>
      </c>
      <c r="AA65" s="152">
        <f>AVERAGE(G65,N65,U65)</f>
      </c>
      <c r="AB65" s="153">
        <f>STDEV(B65,I65,P65)</f>
      </c>
      <c r="AC65" s="153">
        <f>STDEV(C65,J65,Q65)</f>
      </c>
      <c r="AD65" s="153">
        <f>STDEV(D65,K65,R65)</f>
      </c>
      <c r="AE65" s="153">
        <f>STDEV(E65,L65,S65)</f>
      </c>
      <c r="AF65" s="154">
        <f>STDEV(G65,N65,U65)</f>
      </c>
    </row>
    <row x14ac:dyDescent="0.25" r="66" customHeight="1" ht="16.5">
      <c r="A66" s="56" t="s">
        <v>98</v>
      </c>
      <c r="B66" s="155"/>
      <c r="C66" s="156">
        <v>5</v>
      </c>
      <c r="D66" s="156">
        <v>0</v>
      </c>
      <c r="E66" s="156">
        <v>1</v>
      </c>
      <c r="F66" s="157">
        <v>0</v>
      </c>
      <c r="G66" s="158"/>
      <c r="H66" s="63" t="s">
        <v>99</v>
      </c>
      <c r="I66" s="159">
        <v>1</v>
      </c>
      <c r="J66" s="60">
        <v>5</v>
      </c>
      <c r="K66" s="60">
        <v>0</v>
      </c>
      <c r="L66" s="60">
        <v>1</v>
      </c>
      <c r="M66" s="61">
        <v>0</v>
      </c>
      <c r="N66" s="61">
        <v>0</v>
      </c>
      <c r="O66" s="63" t="s">
        <v>41</v>
      </c>
      <c r="P66" s="155">
        <v>2</v>
      </c>
      <c r="Q66" s="156">
        <v>11</v>
      </c>
      <c r="R66" s="156">
        <v>2</v>
      </c>
      <c r="S66" s="156">
        <v>1</v>
      </c>
      <c r="T66" s="157">
        <v>0</v>
      </c>
      <c r="U66" s="158">
        <v>0</v>
      </c>
      <c r="V66" s="140" t="s">
        <v>100</v>
      </c>
      <c r="W66" s="151">
        <f>AVERAGE(B66,I66,P66)</f>
      </c>
      <c r="X66" s="151">
        <f>AVERAGE(C66,J66,Q66)</f>
      </c>
      <c r="Y66" s="151">
        <f>AVERAGE(D66,K66,R66)</f>
      </c>
      <c r="Z66" s="151">
        <f>AVERAGE(E66,L66,S66)</f>
      </c>
      <c r="AA66" s="152">
        <f>AVERAGE(G66,N66,U66)</f>
      </c>
      <c r="AB66" s="153">
        <f>STDEV(B66,I66,P66)</f>
      </c>
      <c r="AC66" s="153">
        <f>STDEV(C66,J66,Q66)</f>
      </c>
      <c r="AD66" s="153">
        <f>STDEV(D66,K66,R66)</f>
      </c>
      <c r="AE66" s="153">
        <f>STDEV(E66,L66,S66)</f>
      </c>
      <c r="AF66" s="154">
        <f>STDEV(G66,N66,U66)</f>
      </c>
    </row>
    <row x14ac:dyDescent="0.25" r="67" customHeight="1" ht="16.5">
      <c r="A67" s="56" t="s">
        <v>101</v>
      </c>
      <c r="B67" s="155">
        <v>1</v>
      </c>
      <c r="C67" s="156">
        <v>6</v>
      </c>
      <c r="D67" s="156">
        <v>0</v>
      </c>
      <c r="E67" s="156">
        <v>1</v>
      </c>
      <c r="F67" s="157">
        <v>1</v>
      </c>
      <c r="G67" s="158">
        <v>2</v>
      </c>
      <c r="H67" s="63" t="s">
        <v>102</v>
      </c>
      <c r="I67" s="159">
        <v>0</v>
      </c>
      <c r="J67" s="60">
        <v>5</v>
      </c>
      <c r="K67" s="60">
        <v>0</v>
      </c>
      <c r="L67" s="60">
        <v>1</v>
      </c>
      <c r="M67" s="61">
        <v>0</v>
      </c>
      <c r="N67" s="61">
        <v>0</v>
      </c>
      <c r="O67" s="63" t="s">
        <v>103</v>
      </c>
      <c r="P67" s="159">
        <v>0</v>
      </c>
      <c r="Q67" s="60">
        <v>5</v>
      </c>
      <c r="R67" s="60">
        <v>0</v>
      </c>
      <c r="S67" s="60">
        <v>1</v>
      </c>
      <c r="T67" s="61">
        <v>0</v>
      </c>
      <c r="U67" s="62"/>
      <c r="V67" s="63" t="s">
        <v>104</v>
      </c>
      <c r="W67" s="151">
        <f>AVERAGE(B67,I67,P67)</f>
      </c>
      <c r="X67" s="151">
        <f>AVERAGE(C67,J67,Q67)</f>
      </c>
      <c r="Y67" s="151">
        <f>AVERAGE(D67,K67,R67)</f>
      </c>
      <c r="Z67" s="151">
        <f>AVERAGE(E67,L67,S67)</f>
      </c>
      <c r="AA67" s="152">
        <f>AVERAGE(G67,N67,U67)</f>
      </c>
      <c r="AB67" s="153">
        <f>STDEV(B67,I67,P67)</f>
      </c>
      <c r="AC67" s="153">
        <f>STDEV(C67,J67,Q67)</f>
      </c>
      <c r="AD67" s="153">
        <f>STDEV(D67,K67,R67)</f>
      </c>
      <c r="AE67" s="153">
        <f>STDEV(E67,L67,S67)</f>
      </c>
      <c r="AF67" s="154">
        <f>STDEV(G67,N67,U67)</f>
      </c>
    </row>
    <row x14ac:dyDescent="0.25" r="68" customHeight="1" ht="16.5">
      <c r="A68" s="69" t="s">
        <v>105</v>
      </c>
      <c r="B68" s="160">
        <v>0</v>
      </c>
      <c r="C68" s="108">
        <v>5</v>
      </c>
      <c r="D68" s="108">
        <v>1</v>
      </c>
      <c r="E68" s="108">
        <v>1</v>
      </c>
      <c r="F68" s="109">
        <v>0</v>
      </c>
      <c r="G68" s="110">
        <v>0</v>
      </c>
      <c r="H68" s="69"/>
      <c r="I68" s="97">
        <v>0</v>
      </c>
      <c r="J68" s="66">
        <v>7</v>
      </c>
      <c r="K68" s="66">
        <v>0</v>
      </c>
      <c r="L68" s="66">
        <v>1</v>
      </c>
      <c r="M68" s="67">
        <v>0</v>
      </c>
      <c r="N68" s="67">
        <v>0</v>
      </c>
      <c r="O68" s="77"/>
      <c r="P68" s="97">
        <v>0</v>
      </c>
      <c r="Q68" s="66">
        <v>5</v>
      </c>
      <c r="R68" s="66">
        <v>0</v>
      </c>
      <c r="S68" s="66">
        <v>1</v>
      </c>
      <c r="T68" s="67">
        <v>0</v>
      </c>
      <c r="U68" s="68">
        <v>0</v>
      </c>
      <c r="V68" s="77" t="s">
        <v>106</v>
      </c>
      <c r="W68" s="161">
        <f>AVERAGE(B68,I68,P68)</f>
      </c>
      <c r="X68" s="161">
        <f>AVERAGE(C68,J68,Q68)</f>
      </c>
      <c r="Y68" s="161">
        <f>AVERAGE(D68,K68,R68)</f>
      </c>
      <c r="Z68" s="161">
        <f>AVERAGE(E68,L68,S68)</f>
      </c>
      <c r="AA68" s="162">
        <f>AVERAGE(G68,N68,U68)</f>
      </c>
      <c r="AB68" s="163">
        <f>STDEV(B68,I68,P68)</f>
      </c>
      <c r="AC68" s="163">
        <f>STDEV(C68,J68,Q68)</f>
      </c>
      <c r="AD68" s="163">
        <f>STDEV(D68,K68,R68)</f>
      </c>
      <c r="AE68" s="163">
        <f>STDEV(E68,L68,S68)</f>
      </c>
      <c r="AF68" s="164">
        <f>STDEV(G68,N68,U68)</f>
      </c>
    </row>
    <row x14ac:dyDescent="0.25" r="69" customHeight="1" ht="16.5">
      <c r="A69" s="14"/>
      <c r="B69" s="11"/>
      <c r="C69" s="11"/>
      <c r="D69" s="11"/>
      <c r="E69" s="11"/>
      <c r="F69" s="11"/>
      <c r="G69" s="11"/>
      <c r="H69" s="12"/>
      <c r="I69" s="13"/>
      <c r="J69" s="13"/>
      <c r="K69" s="13"/>
      <c r="L69" s="13"/>
      <c r="M69" s="13"/>
      <c r="N69" s="13"/>
      <c r="O69" s="14"/>
      <c r="P69" s="13"/>
      <c r="Q69" s="13"/>
      <c r="R69" s="13"/>
      <c r="S69" s="13"/>
      <c r="T69" s="13"/>
      <c r="U69" s="13"/>
      <c r="V69" s="14"/>
      <c r="W69" s="15"/>
      <c r="X69" s="15"/>
      <c r="Y69" s="15"/>
      <c r="Z69" s="15"/>
      <c r="AA69" s="15"/>
      <c r="AB69" s="15"/>
      <c r="AC69" s="15"/>
      <c r="AD69" s="15"/>
      <c r="AE69" s="15"/>
      <c r="AF69" s="15"/>
    </row>
    <row x14ac:dyDescent="0.25" r="70" customHeight="1" ht="16.5">
      <c r="A70" s="14"/>
      <c r="B70" s="11"/>
      <c r="C70" s="11"/>
      <c r="D70" s="11"/>
      <c r="E70" s="11"/>
      <c r="F70" s="11"/>
      <c r="G70" s="11"/>
      <c r="H70" s="12"/>
      <c r="I70" s="13"/>
      <c r="J70" s="13"/>
      <c r="K70" s="13"/>
      <c r="L70" s="13"/>
      <c r="M70" s="13"/>
      <c r="N70" s="13"/>
      <c r="O70" s="14"/>
      <c r="P70" s="13"/>
      <c r="Q70" s="13"/>
      <c r="R70" s="13"/>
      <c r="S70" s="13"/>
      <c r="T70" s="13"/>
      <c r="U70" s="13"/>
      <c r="V70" s="14"/>
      <c r="W70" s="15"/>
      <c r="X70" s="15"/>
      <c r="Y70" s="15"/>
      <c r="Z70" s="15"/>
      <c r="AA70" s="15"/>
      <c r="AB70" s="15"/>
      <c r="AC70" s="15"/>
      <c r="AD70" s="15"/>
      <c r="AE70" s="15"/>
      <c r="AF70" s="15"/>
    </row>
    <row x14ac:dyDescent="0.25" r="71" customHeight="1" ht="16.5">
      <c r="A71" s="14"/>
      <c r="B71" s="11"/>
      <c r="C71" s="11"/>
      <c r="D71" s="11"/>
      <c r="E71" s="11"/>
      <c r="F71" s="11"/>
      <c r="G71" s="11"/>
      <c r="H71" s="12"/>
      <c r="I71" s="13"/>
      <c r="J71" s="13"/>
      <c r="K71" s="13"/>
      <c r="L71" s="13"/>
      <c r="M71" s="13"/>
      <c r="N71" s="13"/>
      <c r="O71" s="14"/>
      <c r="P71" s="13"/>
      <c r="Q71" s="13"/>
      <c r="R71" s="13"/>
      <c r="S71" s="13"/>
      <c r="T71" s="13"/>
      <c r="U71" s="13"/>
      <c r="V71" s="14"/>
      <c r="W71" s="15"/>
      <c r="X71" s="15"/>
      <c r="Y71" s="15"/>
      <c r="Z71" s="15"/>
      <c r="AA71" s="15"/>
      <c r="AB71" s="15"/>
      <c r="AC71" s="15"/>
      <c r="AD71" s="15"/>
      <c r="AE71" s="15"/>
      <c r="AF71" s="15"/>
    </row>
    <row x14ac:dyDescent="0.25" r="72" customHeight="1" ht="16.5">
      <c r="A72" s="14"/>
      <c r="B72" s="11"/>
      <c r="C72" s="11"/>
      <c r="D72" s="11"/>
      <c r="E72" s="11"/>
      <c r="F72" s="11"/>
      <c r="G72" s="11"/>
      <c r="H72" s="12"/>
      <c r="I72" s="13"/>
      <c r="J72" s="13"/>
      <c r="K72" s="13"/>
      <c r="L72" s="13"/>
      <c r="M72" s="13"/>
      <c r="N72" s="13"/>
      <c r="O72" s="14"/>
      <c r="P72" s="13"/>
      <c r="Q72" s="13"/>
      <c r="R72" s="13"/>
      <c r="S72" s="13"/>
      <c r="T72" s="13"/>
      <c r="U72" s="13"/>
      <c r="V72" s="14"/>
      <c r="W72" s="15"/>
      <c r="X72" s="15"/>
      <c r="Y72" s="15"/>
      <c r="Z72" s="15"/>
      <c r="AA72" s="15"/>
      <c r="AB72" s="15"/>
      <c r="AC72" s="15"/>
      <c r="AD72" s="15"/>
      <c r="AE72" s="15"/>
      <c r="AF72" s="15"/>
    </row>
    <row x14ac:dyDescent="0.25" r="73" customHeight="1" ht="16">
      <c r="A73" s="165" t="s">
        <v>107</v>
      </c>
      <c r="B73" s="166"/>
      <c r="C73" s="166"/>
      <c r="D73" s="166"/>
      <c r="E73" s="166"/>
      <c r="F73" s="166"/>
      <c r="G73" s="167"/>
      <c r="H73" s="12"/>
      <c r="I73" s="13"/>
      <c r="J73" s="13"/>
      <c r="K73" s="13"/>
      <c r="L73" s="13"/>
      <c r="M73" s="13"/>
      <c r="N73" s="13"/>
      <c r="O73" s="14"/>
      <c r="P73" s="13"/>
      <c r="Q73" s="13"/>
      <c r="R73" s="13"/>
      <c r="S73" s="13"/>
      <c r="T73" s="13"/>
      <c r="U73" s="13"/>
      <c r="V73" s="14"/>
      <c r="W73" s="15"/>
      <c r="X73" s="15"/>
      <c r="Y73" s="15"/>
      <c r="Z73" s="15"/>
      <c r="AA73" s="15"/>
      <c r="AB73" s="15"/>
      <c r="AC73" s="15"/>
      <c r="AD73" s="15"/>
      <c r="AE73" s="15"/>
      <c r="AF73" s="15"/>
    </row>
    <row x14ac:dyDescent="0.25" r="74" customHeight="1" ht="16">
      <c r="A74" s="168"/>
      <c r="B74" s="169"/>
      <c r="C74" s="169"/>
      <c r="D74" s="169"/>
      <c r="E74" s="169"/>
      <c r="F74" s="169"/>
      <c r="G74" s="170"/>
      <c r="H74" s="12"/>
      <c r="I74" s="13"/>
      <c r="J74" s="13"/>
      <c r="K74" s="13"/>
      <c r="L74" s="13"/>
      <c r="M74" s="13"/>
      <c r="N74" s="13"/>
      <c r="O74" s="14"/>
      <c r="P74" s="13"/>
      <c r="Q74" s="13"/>
      <c r="R74" s="13"/>
      <c r="S74" s="13"/>
      <c r="T74" s="13"/>
      <c r="U74" s="13"/>
      <c r="V74" s="14"/>
      <c r="W74" s="15"/>
      <c r="X74" s="15"/>
      <c r="Y74" s="15"/>
      <c r="Z74" s="15"/>
      <c r="AA74" s="15"/>
      <c r="AB74" s="15"/>
      <c r="AC74" s="15"/>
      <c r="AD74" s="15"/>
      <c r="AE74" s="15"/>
      <c r="AF74" s="15"/>
    </row>
    <row x14ac:dyDescent="0.25" r="75" customHeight="1" ht="16" customFormat="1" s="1">
      <c r="A75" s="171" t="s">
        <v>108</v>
      </c>
      <c r="B75" s="172"/>
      <c r="C75" s="172"/>
      <c r="D75" s="172"/>
      <c r="E75" s="172"/>
      <c r="F75" s="172"/>
      <c r="G75" s="172"/>
      <c r="H75" s="173"/>
      <c r="I75" s="172"/>
      <c r="J75" s="172"/>
      <c r="K75" s="172"/>
      <c r="L75" s="172"/>
      <c r="M75" s="172"/>
      <c r="N75" s="172"/>
      <c r="O75" s="174"/>
      <c r="P75" s="6"/>
      <c r="Q75" s="6"/>
      <c r="R75" s="6"/>
      <c r="S75" s="6"/>
      <c r="T75" s="6"/>
      <c r="U75" s="6"/>
      <c r="V75" s="7"/>
      <c r="W75" s="8"/>
      <c r="X75" s="8"/>
      <c r="Y75" s="8"/>
      <c r="Z75" s="8"/>
      <c r="AA75" s="8"/>
      <c r="AB75" s="8"/>
      <c r="AC75" s="8"/>
      <c r="AD75" s="8"/>
      <c r="AE75" s="8"/>
      <c r="AF75" s="8"/>
    </row>
    <row x14ac:dyDescent="0.25" r="76" customHeight="1" ht="16" customFormat="1" s="1">
      <c r="A76" s="175"/>
      <c r="B76" s="176"/>
      <c r="C76" s="176"/>
      <c r="D76" s="176"/>
      <c r="E76" s="176"/>
      <c r="F76" s="176"/>
      <c r="G76" s="176"/>
      <c r="H76" s="177"/>
      <c r="I76" s="176"/>
      <c r="J76" s="176"/>
      <c r="K76" s="176"/>
      <c r="L76" s="176"/>
      <c r="M76" s="176"/>
      <c r="N76" s="176"/>
      <c r="O76" s="178"/>
      <c r="P76" s="6"/>
      <c r="Q76" s="6"/>
      <c r="R76" s="6"/>
      <c r="S76" s="6"/>
      <c r="T76" s="6"/>
      <c r="U76" s="6"/>
      <c r="V76" s="7"/>
      <c r="W76" s="8"/>
      <c r="X76" s="8"/>
      <c r="Y76" s="8"/>
      <c r="Z76" s="8"/>
      <c r="AA76" s="8"/>
      <c r="AB76" s="8"/>
      <c r="AC76" s="8"/>
      <c r="AD76" s="8"/>
      <c r="AE76" s="8"/>
      <c r="AF76" s="8"/>
    </row>
    <row x14ac:dyDescent="0.25" r="77" customHeight="1" ht="16" customFormat="1" s="1">
      <c r="A77" s="175"/>
      <c r="B77" s="176"/>
      <c r="C77" s="176"/>
      <c r="D77" s="176"/>
      <c r="E77" s="176"/>
      <c r="F77" s="176"/>
      <c r="G77" s="176"/>
      <c r="H77" s="177"/>
      <c r="I77" s="176"/>
      <c r="J77" s="176"/>
      <c r="K77" s="176"/>
      <c r="L77" s="176"/>
      <c r="M77" s="176"/>
      <c r="N77" s="176"/>
      <c r="O77" s="178"/>
      <c r="P77" s="6"/>
      <c r="Q77" s="6"/>
      <c r="R77" s="6"/>
      <c r="S77" s="6"/>
      <c r="T77" s="6"/>
      <c r="U77" s="6"/>
      <c r="V77" s="7"/>
      <c r="W77" s="8"/>
      <c r="X77" s="8"/>
      <c r="Y77" s="8"/>
      <c r="Z77" s="8"/>
      <c r="AA77" s="8"/>
      <c r="AB77" s="8"/>
      <c r="AC77" s="8"/>
      <c r="AD77" s="8"/>
      <c r="AE77" s="8"/>
      <c r="AF77" s="8"/>
    </row>
    <row x14ac:dyDescent="0.25" r="78" customHeight="1" ht="16" customFormat="1" s="1">
      <c r="A78" s="175"/>
      <c r="B78" s="176"/>
      <c r="C78" s="176"/>
      <c r="D78" s="176"/>
      <c r="E78" s="176"/>
      <c r="F78" s="176"/>
      <c r="G78" s="176"/>
      <c r="H78" s="177"/>
      <c r="I78" s="176"/>
      <c r="J78" s="176"/>
      <c r="K78" s="176"/>
      <c r="L78" s="176"/>
      <c r="M78" s="176"/>
      <c r="N78" s="176"/>
      <c r="O78" s="178"/>
      <c r="P78" s="6"/>
      <c r="Q78" s="6"/>
      <c r="R78" s="6"/>
      <c r="S78" s="6"/>
      <c r="T78" s="6"/>
      <c r="U78" s="6"/>
      <c r="V78" s="7"/>
      <c r="W78" s="8"/>
      <c r="X78" s="8"/>
      <c r="Y78" s="8"/>
      <c r="Z78" s="8"/>
      <c r="AA78" s="8"/>
      <c r="AB78" s="8"/>
      <c r="AC78" s="8"/>
      <c r="AD78" s="8"/>
      <c r="AE78" s="8"/>
      <c r="AF78" s="8"/>
    </row>
    <row x14ac:dyDescent="0.25" r="79" customHeight="1" ht="16" customFormat="1" s="1">
      <c r="A79" s="175"/>
      <c r="B79" s="176"/>
      <c r="C79" s="176"/>
      <c r="D79" s="176"/>
      <c r="E79" s="176"/>
      <c r="F79" s="176"/>
      <c r="G79" s="176"/>
      <c r="H79" s="177"/>
      <c r="I79" s="176"/>
      <c r="J79" s="176"/>
      <c r="K79" s="176"/>
      <c r="L79" s="176"/>
      <c r="M79" s="176"/>
      <c r="N79" s="176"/>
      <c r="O79" s="178"/>
      <c r="P79" s="6"/>
      <c r="Q79" s="6"/>
      <c r="R79" s="6"/>
      <c r="S79" s="6"/>
      <c r="T79" s="6"/>
      <c r="U79" s="6"/>
      <c r="V79" s="7"/>
      <c r="W79" s="8"/>
      <c r="X79" s="8"/>
      <c r="Y79" s="8"/>
      <c r="Z79" s="8"/>
      <c r="AA79" s="8"/>
      <c r="AB79" s="8"/>
      <c r="AC79" s="8"/>
      <c r="AD79" s="8"/>
      <c r="AE79" s="8"/>
      <c r="AF79" s="8"/>
    </row>
    <row x14ac:dyDescent="0.25" r="80" customHeight="1" ht="16" customFormat="1" s="1">
      <c r="A80" s="175"/>
      <c r="B80" s="176"/>
      <c r="C80" s="176"/>
      <c r="D80" s="176"/>
      <c r="E80" s="176"/>
      <c r="F80" s="176"/>
      <c r="G80" s="176"/>
      <c r="H80" s="177"/>
      <c r="I80" s="176"/>
      <c r="J80" s="176"/>
      <c r="K80" s="176"/>
      <c r="L80" s="176"/>
      <c r="M80" s="176"/>
      <c r="N80" s="176"/>
      <c r="O80" s="178"/>
      <c r="P80" s="6"/>
      <c r="Q80" s="6"/>
      <c r="R80" s="6"/>
      <c r="S80" s="6"/>
      <c r="T80" s="6"/>
      <c r="U80" s="6"/>
      <c r="V80" s="7"/>
      <c r="W80" s="8"/>
      <c r="X80" s="8"/>
      <c r="Y80" s="8"/>
      <c r="Z80" s="8"/>
      <c r="AA80" s="8"/>
      <c r="AB80" s="8"/>
      <c r="AC80" s="8"/>
      <c r="AD80" s="8"/>
      <c r="AE80" s="8"/>
      <c r="AF80" s="8"/>
    </row>
    <row x14ac:dyDescent="0.25" r="81" customHeight="1" ht="16" customFormat="1" s="1">
      <c r="A81" s="175"/>
      <c r="B81" s="176"/>
      <c r="C81" s="176"/>
      <c r="D81" s="176"/>
      <c r="E81" s="176"/>
      <c r="F81" s="176"/>
      <c r="G81" s="176"/>
      <c r="H81" s="177"/>
      <c r="I81" s="176"/>
      <c r="J81" s="176"/>
      <c r="K81" s="176"/>
      <c r="L81" s="176"/>
      <c r="M81" s="176"/>
      <c r="N81" s="176"/>
      <c r="O81" s="178"/>
      <c r="P81" s="6"/>
      <c r="Q81" s="6"/>
      <c r="R81" s="6"/>
      <c r="S81" s="6"/>
      <c r="T81" s="6"/>
      <c r="U81" s="6"/>
      <c r="V81" s="7"/>
      <c r="W81" s="8"/>
      <c r="X81" s="8"/>
      <c r="Y81" s="8"/>
      <c r="Z81" s="8"/>
      <c r="AA81" s="8"/>
      <c r="AB81" s="8"/>
      <c r="AC81" s="8"/>
      <c r="AD81" s="8"/>
      <c r="AE81" s="8"/>
      <c r="AF81" s="8"/>
    </row>
    <row x14ac:dyDescent="0.25" r="82" customHeight="1" ht="16" customFormat="1" s="1">
      <c r="A82" s="175"/>
      <c r="B82" s="176"/>
      <c r="C82" s="176"/>
      <c r="D82" s="176"/>
      <c r="E82" s="176"/>
      <c r="F82" s="176"/>
      <c r="G82" s="176"/>
      <c r="H82" s="177"/>
      <c r="I82" s="176"/>
      <c r="J82" s="176"/>
      <c r="K82" s="176"/>
      <c r="L82" s="176"/>
      <c r="M82" s="176"/>
      <c r="N82" s="176"/>
      <c r="O82" s="178"/>
      <c r="P82" s="6"/>
      <c r="Q82" s="6"/>
      <c r="R82" s="6"/>
      <c r="S82" s="6"/>
      <c r="T82" s="6"/>
      <c r="U82" s="6"/>
      <c r="V82" s="7"/>
      <c r="W82" s="8"/>
      <c r="X82" s="8"/>
      <c r="Y82" s="8"/>
      <c r="Z82" s="8"/>
      <c r="AA82" s="8"/>
      <c r="AB82" s="8"/>
      <c r="AC82" s="8"/>
      <c r="AD82" s="8"/>
      <c r="AE82" s="8"/>
      <c r="AF82" s="8"/>
    </row>
    <row x14ac:dyDescent="0.25" r="83" customHeight="1" ht="16" customFormat="1" s="1">
      <c r="A83" s="175"/>
      <c r="B83" s="176"/>
      <c r="C83" s="176"/>
      <c r="D83" s="176"/>
      <c r="E83" s="176"/>
      <c r="F83" s="176"/>
      <c r="G83" s="176"/>
      <c r="H83" s="177"/>
      <c r="I83" s="176"/>
      <c r="J83" s="176"/>
      <c r="K83" s="176"/>
      <c r="L83" s="176"/>
      <c r="M83" s="176"/>
      <c r="N83" s="176"/>
      <c r="O83" s="178"/>
      <c r="P83" s="6"/>
      <c r="Q83" s="6"/>
      <c r="R83" s="6"/>
      <c r="S83" s="6"/>
      <c r="T83" s="6"/>
      <c r="U83" s="6"/>
      <c r="V83" s="7"/>
      <c r="W83" s="8"/>
      <c r="X83" s="8"/>
      <c r="Y83" s="8"/>
      <c r="Z83" s="8"/>
      <c r="AA83" s="8"/>
      <c r="AB83" s="8"/>
      <c r="AC83" s="8"/>
      <c r="AD83" s="8"/>
      <c r="AE83" s="8"/>
      <c r="AF83" s="8"/>
    </row>
    <row x14ac:dyDescent="0.25" r="84" customHeight="1" ht="16" customFormat="1" s="1">
      <c r="A84" s="175"/>
      <c r="B84" s="176"/>
      <c r="C84" s="176"/>
      <c r="D84" s="176"/>
      <c r="E84" s="176"/>
      <c r="F84" s="176"/>
      <c r="G84" s="176"/>
      <c r="H84" s="177"/>
      <c r="I84" s="176"/>
      <c r="J84" s="176"/>
      <c r="K84" s="176"/>
      <c r="L84" s="176"/>
      <c r="M84" s="176"/>
      <c r="N84" s="176"/>
      <c r="O84" s="178"/>
      <c r="P84" s="6"/>
      <c r="Q84" s="6"/>
      <c r="R84" s="6"/>
      <c r="S84" s="6"/>
      <c r="T84" s="6"/>
      <c r="U84" s="6"/>
      <c r="V84" s="7"/>
      <c r="W84" s="8"/>
      <c r="X84" s="8"/>
      <c r="Y84" s="8"/>
      <c r="Z84" s="8"/>
      <c r="AA84" s="8"/>
      <c r="AB84" s="8"/>
      <c r="AC84" s="8"/>
      <c r="AD84" s="8"/>
      <c r="AE84" s="8"/>
      <c r="AF84" s="8"/>
    </row>
    <row x14ac:dyDescent="0.25" r="85" customHeight="1" ht="17" customFormat="1" s="1">
      <c r="A85" s="175"/>
      <c r="B85" s="176"/>
      <c r="C85" s="176"/>
      <c r="D85" s="176"/>
      <c r="E85" s="176"/>
      <c r="F85" s="176"/>
      <c r="G85" s="176"/>
      <c r="H85" s="177"/>
      <c r="I85" s="176"/>
      <c r="J85" s="176"/>
      <c r="K85" s="176"/>
      <c r="L85" s="176"/>
      <c r="M85" s="176"/>
      <c r="N85" s="176"/>
      <c r="O85" s="178"/>
      <c r="P85" s="6"/>
      <c r="Q85" s="6"/>
      <c r="R85" s="6"/>
      <c r="S85" s="6"/>
      <c r="T85" s="6"/>
      <c r="U85" s="6"/>
      <c r="V85" s="7"/>
      <c r="W85" s="8"/>
      <c r="X85" s="8"/>
      <c r="Y85" s="8"/>
      <c r="Z85" s="8"/>
      <c r="AA85" s="8"/>
      <c r="AB85" s="8"/>
      <c r="AC85" s="8"/>
      <c r="AD85" s="8"/>
      <c r="AE85" s="8"/>
      <c r="AF85" s="8"/>
    </row>
    <row x14ac:dyDescent="0.25" r="86" customHeight="1" ht="16" customFormat="1" s="1">
      <c r="A86" s="175"/>
      <c r="B86" s="176"/>
      <c r="C86" s="176"/>
      <c r="D86" s="176"/>
      <c r="E86" s="176"/>
      <c r="F86" s="176"/>
      <c r="G86" s="176"/>
      <c r="H86" s="177"/>
      <c r="I86" s="176"/>
      <c r="J86" s="176"/>
      <c r="K86" s="176"/>
      <c r="L86" s="176"/>
      <c r="M86" s="176"/>
      <c r="N86" s="176"/>
      <c r="O86" s="178"/>
      <c r="P86" s="6"/>
      <c r="Q86" s="6"/>
      <c r="R86" s="6"/>
      <c r="S86" s="6"/>
      <c r="T86" s="6"/>
      <c r="U86" s="6"/>
      <c r="V86" s="7"/>
      <c r="W86" s="8"/>
      <c r="X86" s="8"/>
      <c r="Y86" s="8"/>
      <c r="Z86" s="8"/>
      <c r="AA86" s="8"/>
      <c r="AB86" s="8"/>
      <c r="AC86" s="8"/>
      <c r="AD86" s="8"/>
      <c r="AE86" s="8"/>
      <c r="AF86" s="8"/>
    </row>
    <row x14ac:dyDescent="0.25" r="87" customHeight="1" ht="16" customFormat="1" s="1">
      <c r="A87" s="175"/>
      <c r="B87" s="176"/>
      <c r="C87" s="176"/>
      <c r="D87" s="176"/>
      <c r="E87" s="176"/>
      <c r="F87" s="176"/>
      <c r="G87" s="176"/>
      <c r="H87" s="177"/>
      <c r="I87" s="176"/>
      <c r="J87" s="176"/>
      <c r="K87" s="176"/>
      <c r="L87" s="176"/>
      <c r="M87" s="176"/>
      <c r="N87" s="176"/>
      <c r="O87" s="178"/>
      <c r="P87" s="6"/>
      <c r="Q87" s="6"/>
      <c r="R87" s="6"/>
      <c r="S87" s="6"/>
      <c r="T87" s="6"/>
      <c r="U87" s="6"/>
      <c r="V87" s="7"/>
      <c r="W87" s="8"/>
      <c r="X87" s="8"/>
      <c r="Y87" s="8"/>
      <c r="Z87" s="8"/>
      <c r="AA87" s="8"/>
      <c r="AB87" s="8"/>
      <c r="AC87" s="8"/>
      <c r="AD87" s="8"/>
      <c r="AE87" s="8"/>
      <c r="AF87" s="8"/>
    </row>
    <row x14ac:dyDescent="0.25" r="88" customHeight="1" ht="17" customFormat="1" s="1">
      <c r="A88" s="175"/>
      <c r="B88" s="176"/>
      <c r="C88" s="176"/>
      <c r="D88" s="176"/>
      <c r="E88" s="176"/>
      <c r="F88" s="176"/>
      <c r="G88" s="176"/>
      <c r="H88" s="177"/>
      <c r="I88" s="176"/>
      <c r="J88" s="176"/>
      <c r="K88" s="176"/>
      <c r="L88" s="176"/>
      <c r="M88" s="176"/>
      <c r="N88" s="176"/>
      <c r="O88" s="178"/>
      <c r="P88" s="6"/>
      <c r="Q88" s="6"/>
      <c r="R88" s="6"/>
      <c r="S88" s="6"/>
      <c r="T88" s="6"/>
      <c r="U88" s="6"/>
      <c r="V88" s="7"/>
      <c r="W88" s="8"/>
      <c r="X88" s="8"/>
      <c r="Y88" s="8"/>
      <c r="Z88" s="8"/>
      <c r="AA88" s="8"/>
      <c r="AB88" s="8"/>
      <c r="AC88" s="8"/>
      <c r="AD88" s="8"/>
      <c r="AE88" s="8"/>
      <c r="AF88" s="8"/>
    </row>
    <row x14ac:dyDescent="0.25" r="89" customHeight="1" ht="16.5" customFormat="1" s="1">
      <c r="A89" s="175"/>
      <c r="B89" s="176"/>
      <c r="C89" s="176"/>
      <c r="D89" s="176"/>
      <c r="E89" s="176"/>
      <c r="F89" s="176"/>
      <c r="G89" s="176"/>
      <c r="H89" s="177"/>
      <c r="I89" s="176"/>
      <c r="J89" s="176"/>
      <c r="K89" s="176"/>
      <c r="L89" s="176"/>
      <c r="M89" s="176"/>
      <c r="N89" s="176"/>
      <c r="O89" s="178"/>
      <c r="P89" s="6"/>
      <c r="Q89" s="6"/>
      <c r="R89" s="6"/>
      <c r="S89" s="6"/>
      <c r="T89" s="6"/>
      <c r="U89" s="6"/>
      <c r="V89" s="7"/>
      <c r="W89" s="8"/>
      <c r="X89" s="8"/>
      <c r="Y89" s="8"/>
      <c r="Z89" s="8"/>
      <c r="AA89" s="8"/>
      <c r="AB89" s="8"/>
      <c r="AC89" s="8"/>
      <c r="AD89" s="8"/>
      <c r="AE89" s="8"/>
      <c r="AF89" s="8"/>
    </row>
    <row x14ac:dyDescent="0.25" r="90" customHeight="1" ht="16.5" customFormat="1" s="1">
      <c r="A90" s="179"/>
      <c r="B90" s="180"/>
      <c r="C90" s="180"/>
      <c r="D90" s="180"/>
      <c r="E90" s="180"/>
      <c r="F90" s="180"/>
      <c r="G90" s="180"/>
      <c r="H90" s="181"/>
      <c r="I90" s="180"/>
      <c r="J90" s="180"/>
      <c r="K90" s="180"/>
      <c r="L90" s="180"/>
      <c r="M90" s="180"/>
      <c r="N90" s="180"/>
      <c r="O90" s="182"/>
      <c r="P90" s="6"/>
      <c r="Q90" s="6"/>
      <c r="R90" s="6"/>
      <c r="S90" s="6"/>
      <c r="T90" s="6"/>
      <c r="U90" s="6"/>
      <c r="V90" s="7"/>
      <c r="W90" s="8"/>
      <c r="X90" s="8"/>
      <c r="Y90" s="8"/>
      <c r="Z90" s="8"/>
      <c r="AA90" s="8"/>
      <c r="AB90" s="8"/>
      <c r="AC90" s="8"/>
      <c r="AD90" s="8"/>
      <c r="AE90" s="8"/>
      <c r="AF90" s="8"/>
    </row>
    <row x14ac:dyDescent="0.25" r="91" customHeight="1" ht="16.5">
      <c r="A91" s="14"/>
      <c r="B91" s="11"/>
      <c r="C91" s="11"/>
      <c r="D91" s="11"/>
      <c r="E91" s="11"/>
      <c r="F91" s="11"/>
      <c r="G91" s="11"/>
      <c r="H91" s="12"/>
      <c r="I91" s="13"/>
      <c r="J91" s="13"/>
      <c r="K91" s="13"/>
      <c r="L91" s="13"/>
      <c r="M91" s="13"/>
      <c r="N91" s="13"/>
      <c r="O91" s="14"/>
      <c r="P91" s="13"/>
      <c r="Q91" s="13"/>
      <c r="R91" s="13"/>
      <c r="S91" s="13"/>
      <c r="T91" s="13"/>
      <c r="U91" s="13"/>
      <c r="V91" s="14"/>
      <c r="W91" s="15"/>
      <c r="X91" s="15"/>
      <c r="Y91" s="15"/>
      <c r="Z91" s="15"/>
      <c r="AA91" s="15"/>
      <c r="AB91" s="15"/>
      <c r="AC91" s="15"/>
      <c r="AD91" s="15"/>
      <c r="AE91" s="15"/>
      <c r="AF91" s="15"/>
    </row>
    <row x14ac:dyDescent="0.25" r="92" customHeight="1" ht="16.5">
      <c r="A92" s="14"/>
      <c r="B92" s="11"/>
      <c r="C92" s="11"/>
      <c r="D92" s="11"/>
      <c r="E92" s="11"/>
      <c r="F92" s="11"/>
      <c r="G92" s="11"/>
      <c r="H92" s="12"/>
      <c r="I92" s="13"/>
      <c r="J92" s="13"/>
      <c r="K92" s="13"/>
      <c r="L92" s="13"/>
      <c r="M92" s="13"/>
      <c r="N92" s="13"/>
      <c r="O92" s="14"/>
      <c r="P92" s="13"/>
      <c r="Q92" s="13"/>
      <c r="R92" s="13"/>
      <c r="S92" s="13"/>
      <c r="T92" s="13"/>
      <c r="U92" s="13"/>
      <c r="V92" s="14"/>
      <c r="W92" s="15"/>
      <c r="X92" s="15"/>
      <c r="Y92" s="15"/>
      <c r="Z92" s="15"/>
      <c r="AA92" s="15"/>
      <c r="AB92" s="15"/>
      <c r="AC92" s="15"/>
      <c r="AD92" s="15"/>
      <c r="AE92" s="15"/>
      <c r="AF92" s="15"/>
    </row>
    <row x14ac:dyDescent="0.25" r="93" customHeight="1" ht="16.5">
      <c r="A93" s="14"/>
      <c r="B93" s="11"/>
      <c r="C93" s="11"/>
      <c r="D93" s="11"/>
      <c r="E93" s="11"/>
      <c r="F93" s="11"/>
      <c r="G93" s="11"/>
      <c r="H93" s="12"/>
      <c r="I93" s="13"/>
      <c r="J93" s="13"/>
      <c r="K93" s="13"/>
      <c r="L93" s="13"/>
      <c r="M93" s="13"/>
      <c r="N93" s="13"/>
      <c r="O93" s="14"/>
      <c r="P93" s="13"/>
      <c r="Q93" s="13"/>
      <c r="R93" s="13"/>
      <c r="S93" s="13"/>
      <c r="T93" s="13"/>
      <c r="U93" s="13"/>
      <c r="V93" s="14"/>
      <c r="W93" s="15"/>
      <c r="X93" s="15"/>
      <c r="Y93" s="15"/>
      <c r="Z93" s="15"/>
      <c r="AA93" s="15"/>
      <c r="AB93" s="15"/>
      <c r="AC93" s="15"/>
      <c r="AD93" s="15"/>
      <c r="AE93" s="15"/>
      <c r="AF93" s="15"/>
    </row>
    <row x14ac:dyDescent="0.25" r="94" customHeight="1" ht="16.5">
      <c r="A94" s="183" t="s">
        <v>109</v>
      </c>
      <c r="B94" s="132"/>
      <c r="C94" s="132"/>
      <c r="D94" s="132"/>
      <c r="E94" s="11"/>
      <c r="F94" s="11"/>
      <c r="G94" s="11"/>
      <c r="H94" s="12"/>
      <c r="I94" s="13"/>
      <c r="J94" s="13"/>
      <c r="K94" s="13"/>
      <c r="L94" s="13"/>
      <c r="M94" s="13"/>
      <c r="N94" s="13"/>
      <c r="O94" s="14"/>
      <c r="P94" s="13"/>
      <c r="Q94" s="13"/>
      <c r="R94" s="13"/>
      <c r="S94" s="13"/>
      <c r="T94" s="13"/>
      <c r="U94" s="13"/>
      <c r="V94" s="14"/>
      <c r="W94" s="15"/>
      <c r="X94" s="15"/>
      <c r="Y94" s="15"/>
      <c r="Z94" s="15"/>
      <c r="AA94" s="15"/>
      <c r="AB94" s="15"/>
      <c r="AC94" s="15"/>
      <c r="AD94" s="15"/>
      <c r="AE94" s="15"/>
      <c r="AF94" s="15"/>
    </row>
    <row x14ac:dyDescent="0.25" r="95" customHeight="1" ht="63" customFormat="1" s="1">
      <c r="A95" s="184" t="s">
        <v>110</v>
      </c>
      <c r="B95" s="185" t="s">
        <v>111</v>
      </c>
      <c r="C95" s="185"/>
      <c r="D95" s="185"/>
      <c r="E95" s="185"/>
      <c r="F95" s="185"/>
      <c r="G95" s="185"/>
      <c r="H95" s="185"/>
      <c r="I95" s="6"/>
      <c r="J95" s="6"/>
      <c r="K95" s="6"/>
      <c r="L95" s="6"/>
      <c r="M95" s="6"/>
      <c r="N95" s="6"/>
      <c r="O95" s="7"/>
      <c r="P95" s="6"/>
      <c r="Q95" s="6"/>
      <c r="R95" s="6"/>
      <c r="S95" s="6"/>
      <c r="T95" s="6"/>
      <c r="U95" s="6"/>
      <c r="V95" s="7"/>
      <c r="W95" s="8"/>
      <c r="X95" s="8"/>
      <c r="Y95" s="8"/>
      <c r="Z95" s="8"/>
      <c r="AA95" s="8"/>
      <c r="AB95" s="8"/>
      <c r="AC95" s="8"/>
      <c r="AD95" s="8"/>
      <c r="AE95" s="8"/>
      <c r="AF95" s="8"/>
    </row>
    <row x14ac:dyDescent="0.25" r="96" customHeight="1" ht="85" customFormat="1" s="1">
      <c r="A96" s="184" t="s">
        <v>112</v>
      </c>
      <c r="B96" s="185" t="s">
        <v>113</v>
      </c>
      <c r="C96" s="185"/>
      <c r="D96" s="185"/>
      <c r="E96" s="185"/>
      <c r="F96" s="185"/>
      <c r="G96" s="185"/>
      <c r="H96" s="185"/>
      <c r="I96" s="6"/>
      <c r="J96" s="6"/>
      <c r="K96" s="6"/>
      <c r="L96" s="6"/>
      <c r="M96" s="6"/>
      <c r="N96" s="6"/>
      <c r="O96" s="7"/>
      <c r="P96" s="6"/>
      <c r="Q96" s="6"/>
      <c r="R96" s="6"/>
      <c r="S96" s="6"/>
      <c r="T96" s="6"/>
      <c r="U96" s="6"/>
      <c r="V96" s="7"/>
      <c r="W96" s="8"/>
      <c r="X96" s="8"/>
      <c r="Y96" s="8"/>
      <c r="Z96" s="8"/>
      <c r="AA96" s="8"/>
      <c r="AB96" s="8"/>
      <c r="AC96" s="8"/>
      <c r="AD96" s="8"/>
      <c r="AE96" s="8"/>
      <c r="AF96" s="8"/>
    </row>
    <row x14ac:dyDescent="0.25" r="97" customHeight="1" ht="36" customFormat="1" s="1">
      <c r="A97" s="184" t="s">
        <v>114</v>
      </c>
      <c r="B97" s="185" t="s">
        <v>115</v>
      </c>
      <c r="C97" s="185"/>
      <c r="D97" s="185"/>
      <c r="E97" s="185"/>
      <c r="F97" s="185"/>
      <c r="G97" s="185"/>
      <c r="H97" s="185"/>
      <c r="I97" s="6"/>
      <c r="J97" s="6"/>
      <c r="K97" s="6"/>
      <c r="L97" s="6"/>
      <c r="M97" s="6"/>
      <c r="N97" s="6"/>
      <c r="O97" s="7"/>
      <c r="P97" s="6"/>
      <c r="Q97" s="6"/>
      <c r="R97" s="6"/>
      <c r="S97" s="6"/>
      <c r="T97" s="6"/>
      <c r="U97" s="6"/>
      <c r="V97" s="7"/>
      <c r="W97" s="8"/>
      <c r="X97" s="8"/>
      <c r="Y97" s="8"/>
      <c r="Z97" s="8"/>
      <c r="AA97" s="8"/>
      <c r="AB97" s="8"/>
      <c r="AC97" s="8"/>
      <c r="AD97" s="8"/>
      <c r="AE97" s="8"/>
      <c r="AF97" s="8"/>
    </row>
    <row x14ac:dyDescent="0.25" r="98" customHeight="1" ht="120" customFormat="1" s="1">
      <c r="A98" s="184" t="s">
        <v>116</v>
      </c>
      <c r="B98" s="185" t="s">
        <v>117</v>
      </c>
      <c r="C98" s="185"/>
      <c r="D98" s="185"/>
      <c r="E98" s="185"/>
      <c r="F98" s="185"/>
      <c r="G98" s="185"/>
      <c r="H98" s="185"/>
      <c r="I98" s="6"/>
      <c r="J98" s="6"/>
      <c r="K98" s="6"/>
      <c r="L98" s="6"/>
      <c r="M98" s="6"/>
      <c r="N98" s="6"/>
      <c r="O98" s="7"/>
      <c r="P98" s="6"/>
      <c r="Q98" s="6"/>
      <c r="R98" s="6"/>
      <c r="S98" s="6"/>
      <c r="T98" s="6"/>
      <c r="U98" s="6"/>
      <c r="V98" s="7"/>
      <c r="W98" s="8"/>
      <c r="X98" s="8"/>
      <c r="Y98" s="8"/>
      <c r="Z98" s="8"/>
      <c r="AA98" s="8"/>
      <c r="AB98" s="8"/>
      <c r="AC98" s="8"/>
      <c r="AD98" s="8"/>
      <c r="AE98" s="8"/>
      <c r="AF98" s="8"/>
    </row>
    <row x14ac:dyDescent="0.25" r="99" customHeight="1" ht="16.5">
      <c r="A99" s="14"/>
      <c r="B99" s="186"/>
      <c r="C99" s="186"/>
      <c r="D99" s="186"/>
      <c r="E99" s="11"/>
      <c r="F99" s="11"/>
      <c r="G99" s="11"/>
      <c r="H99" s="12"/>
      <c r="I99" s="13"/>
      <c r="J99" s="13"/>
      <c r="K99" s="13"/>
      <c r="L99" s="13"/>
      <c r="M99" s="13"/>
      <c r="N99" s="13"/>
      <c r="O99" s="14"/>
      <c r="P99" s="13"/>
      <c r="Q99" s="13"/>
      <c r="R99" s="13"/>
      <c r="S99" s="13"/>
      <c r="T99" s="13"/>
      <c r="U99" s="13"/>
      <c r="V99" s="14"/>
      <c r="W99" s="15"/>
      <c r="X99" s="15"/>
      <c r="Y99" s="15"/>
      <c r="Z99" s="15"/>
      <c r="AA99" s="15"/>
      <c r="AB99" s="15"/>
      <c r="AC99" s="15"/>
      <c r="AD99" s="15"/>
      <c r="AE99" s="15"/>
      <c r="AF99" s="15"/>
    </row>
    <row x14ac:dyDescent="0.25" r="100" customHeight="1" ht="16.5">
      <c r="A100" s="14"/>
      <c r="B100" s="186"/>
      <c r="C100" s="186"/>
      <c r="D100" s="186"/>
      <c r="E100" s="11"/>
      <c r="F100" s="11"/>
      <c r="G100" s="11"/>
      <c r="H100" s="12"/>
      <c r="I100" s="13"/>
      <c r="J100" s="13"/>
      <c r="K100" s="13"/>
      <c r="L100" s="13"/>
      <c r="M100" s="13"/>
      <c r="N100" s="13"/>
      <c r="O100" s="14"/>
      <c r="P100" s="13"/>
      <c r="Q100" s="13"/>
      <c r="R100" s="13"/>
      <c r="S100" s="13"/>
      <c r="T100" s="13"/>
      <c r="U100" s="13"/>
      <c r="V100" s="14"/>
      <c r="W100" s="15"/>
      <c r="X100" s="15"/>
      <c r="Y100" s="15"/>
      <c r="Z100" s="15"/>
      <c r="AA100" s="15"/>
      <c r="AB100" s="15"/>
      <c r="AC100" s="15"/>
      <c r="AD100" s="15"/>
      <c r="AE100" s="15"/>
      <c r="AF100" s="15"/>
    </row>
    <row x14ac:dyDescent="0.25" r="101" customHeight="1" ht="16.5">
      <c r="A101" s="14"/>
      <c r="B101" s="186"/>
      <c r="C101" s="186"/>
      <c r="D101" s="186"/>
      <c r="E101" s="11"/>
      <c r="F101" s="11"/>
      <c r="G101" s="11"/>
      <c r="H101" s="12"/>
      <c r="I101" s="13"/>
      <c r="J101" s="13"/>
      <c r="K101" s="13"/>
      <c r="L101" s="13"/>
      <c r="M101" s="13"/>
      <c r="N101" s="13"/>
      <c r="O101" s="14"/>
      <c r="P101" s="13"/>
      <c r="Q101" s="13"/>
      <c r="R101" s="13"/>
      <c r="S101" s="13"/>
      <c r="T101" s="13"/>
      <c r="U101" s="13"/>
      <c r="V101" s="14"/>
      <c r="W101" s="15"/>
      <c r="X101" s="15"/>
      <c r="Y101" s="15"/>
      <c r="Z101" s="15"/>
      <c r="AA101" s="15"/>
      <c r="AB101" s="15"/>
      <c r="AC101" s="15"/>
      <c r="AD101" s="15"/>
      <c r="AE101" s="15"/>
      <c r="AF101" s="15"/>
    </row>
    <row x14ac:dyDescent="0.25" r="102" customHeight="1" ht="16.5">
      <c r="A102" s="183" t="s">
        <v>118</v>
      </c>
      <c r="B102" s="186"/>
      <c r="C102" s="186"/>
      <c r="D102" s="186"/>
      <c r="E102" s="11"/>
      <c r="F102" s="11"/>
      <c r="G102" s="11"/>
      <c r="H102" s="12"/>
      <c r="I102" s="13"/>
      <c r="J102" s="13"/>
      <c r="K102" s="13"/>
      <c r="L102" s="13"/>
      <c r="M102" s="13"/>
      <c r="N102" s="13"/>
      <c r="O102" s="14"/>
      <c r="P102" s="13"/>
      <c r="Q102" s="13"/>
      <c r="R102" s="13"/>
      <c r="S102" s="13"/>
      <c r="T102" s="13"/>
      <c r="U102" s="13"/>
      <c r="V102" s="14"/>
      <c r="W102" s="15"/>
      <c r="X102" s="15"/>
      <c r="Y102" s="15"/>
      <c r="Z102" s="15"/>
      <c r="AA102" s="15"/>
      <c r="AB102" s="15"/>
      <c r="AC102" s="15"/>
      <c r="AD102" s="15"/>
      <c r="AE102" s="15"/>
      <c r="AF102" s="15"/>
    </row>
    <row x14ac:dyDescent="0.25" r="103" customHeight="1" ht="62">
      <c r="A103" s="187" t="s">
        <v>114</v>
      </c>
      <c r="B103" s="185" t="s">
        <v>119</v>
      </c>
      <c r="C103" s="185"/>
      <c r="D103" s="185"/>
      <c r="E103" s="185"/>
      <c r="F103" s="185"/>
      <c r="G103" s="185"/>
      <c r="H103" s="185"/>
      <c r="I103" s="13"/>
      <c r="J103" s="13"/>
      <c r="K103" s="13"/>
      <c r="L103" s="13"/>
      <c r="M103" s="13"/>
      <c r="N103" s="13"/>
      <c r="O103" s="14"/>
      <c r="P103" s="13"/>
      <c r="Q103" s="13"/>
      <c r="R103" s="13"/>
      <c r="S103" s="13"/>
      <c r="T103" s="13"/>
      <c r="U103" s="13"/>
      <c r="V103" s="14"/>
      <c r="W103" s="15"/>
      <c r="X103" s="15"/>
      <c r="Y103" s="15"/>
      <c r="Z103" s="15"/>
      <c r="AA103" s="15"/>
      <c r="AB103" s="15"/>
      <c r="AC103" s="15"/>
      <c r="AD103" s="15"/>
      <c r="AE103" s="15"/>
      <c r="AF103" s="15"/>
    </row>
    <row x14ac:dyDescent="0.25" r="104" customHeight="1" ht="62">
      <c r="A104" s="187" t="s">
        <v>120</v>
      </c>
      <c r="B104" s="188" t="s">
        <v>121</v>
      </c>
      <c r="C104" s="188"/>
      <c r="D104" s="188"/>
      <c r="E104" s="188"/>
      <c r="F104" s="188"/>
      <c r="G104" s="188"/>
      <c r="H104" s="188"/>
      <c r="I104" s="13"/>
      <c r="J104" s="13"/>
      <c r="K104" s="13"/>
      <c r="L104" s="13"/>
      <c r="M104" s="13"/>
      <c r="N104" s="13"/>
      <c r="O104" s="14"/>
      <c r="P104" s="13"/>
      <c r="Q104" s="13"/>
      <c r="R104" s="13"/>
      <c r="S104" s="13"/>
      <c r="T104" s="13"/>
      <c r="U104" s="13"/>
      <c r="V104" s="14"/>
      <c r="W104" s="15"/>
      <c r="X104" s="15"/>
      <c r="Y104" s="15"/>
      <c r="Z104" s="15"/>
      <c r="AA104" s="15"/>
      <c r="AB104" s="15"/>
      <c r="AC104" s="15"/>
      <c r="AD104" s="15"/>
      <c r="AE104" s="15"/>
      <c r="AF104" s="15"/>
    </row>
    <row x14ac:dyDescent="0.25" r="105" customHeight="1" ht="62">
      <c r="A105" s="187" t="s">
        <v>122</v>
      </c>
      <c r="B105" s="188" t="s">
        <v>123</v>
      </c>
      <c r="C105" s="188"/>
      <c r="D105" s="188"/>
      <c r="E105" s="188"/>
      <c r="F105" s="188"/>
      <c r="G105" s="188"/>
      <c r="H105" s="188"/>
      <c r="I105" s="13"/>
      <c r="J105" s="13"/>
      <c r="K105" s="13"/>
      <c r="L105" s="13"/>
      <c r="M105" s="13"/>
      <c r="N105" s="13"/>
      <c r="O105" s="14"/>
      <c r="P105" s="13"/>
      <c r="Q105" s="13"/>
      <c r="R105" s="13"/>
      <c r="S105" s="13"/>
      <c r="T105" s="13"/>
      <c r="U105" s="13"/>
      <c r="V105" s="14"/>
      <c r="W105" s="15"/>
      <c r="X105" s="15"/>
      <c r="Y105" s="15"/>
      <c r="Z105" s="15"/>
      <c r="AA105" s="15"/>
      <c r="AB105" s="15"/>
      <c r="AC105" s="15"/>
      <c r="AD105" s="15"/>
      <c r="AE105" s="15"/>
      <c r="AF105" s="15"/>
    </row>
    <row x14ac:dyDescent="0.25" r="106" customHeight="1" ht="16.5">
      <c r="A106" s="14"/>
      <c r="B106" s="11"/>
      <c r="C106" s="11"/>
      <c r="D106" s="11"/>
      <c r="E106" s="11"/>
      <c r="F106" s="11"/>
      <c r="G106" s="11"/>
      <c r="H106" s="12"/>
      <c r="I106" s="13"/>
      <c r="J106" s="13"/>
      <c r="K106" s="13"/>
      <c r="L106" s="13"/>
      <c r="M106" s="13"/>
      <c r="N106" s="13"/>
      <c r="O106" s="14"/>
      <c r="P106" s="13"/>
      <c r="Q106" s="13"/>
      <c r="R106" s="13"/>
      <c r="S106" s="13"/>
      <c r="T106" s="13"/>
      <c r="U106" s="13"/>
      <c r="V106" s="14"/>
      <c r="W106" s="15"/>
      <c r="X106" s="15"/>
      <c r="Y106" s="15"/>
      <c r="Z106" s="15"/>
      <c r="AA106" s="15"/>
      <c r="AB106" s="15"/>
      <c r="AC106" s="15"/>
      <c r="AD106" s="15"/>
      <c r="AE106" s="15"/>
      <c r="AF106" s="15"/>
    </row>
    <row x14ac:dyDescent="0.25" r="107" customHeight="1" ht="16.5">
      <c r="A107" s="14"/>
      <c r="B107" s="11"/>
      <c r="C107" s="11"/>
      <c r="D107" s="11"/>
      <c r="E107" s="11"/>
      <c r="F107" s="11"/>
      <c r="G107" s="11"/>
      <c r="H107" s="12"/>
      <c r="I107" s="13"/>
      <c r="J107" s="13"/>
      <c r="K107" s="13"/>
      <c r="L107" s="13"/>
      <c r="M107" s="13"/>
      <c r="N107" s="13"/>
      <c r="O107" s="14"/>
      <c r="P107" s="13"/>
      <c r="Q107" s="13"/>
      <c r="R107" s="13"/>
      <c r="S107" s="13"/>
      <c r="T107" s="13"/>
      <c r="U107" s="13"/>
      <c r="V107" s="14"/>
      <c r="W107" s="15"/>
      <c r="X107" s="15"/>
      <c r="Y107" s="15"/>
      <c r="Z107" s="15"/>
      <c r="AA107" s="15"/>
      <c r="AB107" s="15"/>
      <c r="AC107" s="15"/>
      <c r="AD107" s="15"/>
      <c r="AE107" s="15"/>
      <c r="AF107" s="15"/>
    </row>
    <row x14ac:dyDescent="0.25" r="108" customHeight="1" ht="16.5">
      <c r="A108" s="183" t="s">
        <v>124</v>
      </c>
      <c r="B108" s="11"/>
      <c r="C108" s="11"/>
      <c r="D108" s="11"/>
      <c r="E108" s="11"/>
      <c r="F108" s="11"/>
      <c r="G108" s="11"/>
      <c r="H108" s="12"/>
      <c r="I108" s="13"/>
      <c r="J108" s="13"/>
      <c r="K108" s="13"/>
      <c r="L108" s="13"/>
      <c r="M108" s="13"/>
      <c r="N108" s="13"/>
      <c r="O108" s="14"/>
      <c r="P108" s="13"/>
      <c r="Q108" s="13"/>
      <c r="R108" s="13"/>
      <c r="S108" s="13"/>
      <c r="T108" s="13"/>
      <c r="U108" s="13"/>
      <c r="V108" s="14"/>
      <c r="W108" s="15"/>
      <c r="X108" s="15"/>
      <c r="Y108" s="15"/>
      <c r="Z108" s="15"/>
      <c r="AA108" s="15"/>
      <c r="AB108" s="15"/>
      <c r="AC108" s="15"/>
      <c r="AD108" s="15"/>
      <c r="AE108" s="15"/>
      <c r="AF108" s="15"/>
    </row>
    <row x14ac:dyDescent="0.25" r="109" customHeight="1" ht="44">
      <c r="A109" s="187" t="s">
        <v>125</v>
      </c>
      <c r="B109" s="185" t="s">
        <v>126</v>
      </c>
      <c r="C109" s="185"/>
      <c r="D109" s="185"/>
      <c r="E109" s="185"/>
      <c r="F109" s="185"/>
      <c r="G109" s="185"/>
      <c r="H109" s="185"/>
      <c r="I109" s="13"/>
      <c r="J109" s="13"/>
      <c r="K109" s="13"/>
      <c r="L109" s="13"/>
      <c r="M109" s="13"/>
      <c r="N109" s="13"/>
      <c r="O109" s="14"/>
      <c r="P109" s="13"/>
      <c r="Q109" s="13"/>
      <c r="R109" s="13"/>
      <c r="S109" s="13"/>
      <c r="T109" s="13"/>
      <c r="U109" s="13"/>
      <c r="V109" s="14"/>
      <c r="W109" s="15"/>
      <c r="X109" s="15"/>
      <c r="Y109" s="15"/>
      <c r="Z109" s="15"/>
      <c r="AA109" s="15"/>
      <c r="AB109" s="15"/>
      <c r="AC109" s="15"/>
      <c r="AD109" s="15"/>
      <c r="AE109" s="15"/>
      <c r="AF109" s="15"/>
    </row>
    <row x14ac:dyDescent="0.25" r="110" customHeight="1" ht="16.5">
      <c r="A110" s="14" t="s">
        <v>127</v>
      </c>
      <c r="B110" s="188" t="s">
        <v>128</v>
      </c>
      <c r="C110" s="188"/>
      <c r="D110" s="188"/>
      <c r="E110" s="188"/>
      <c r="F110" s="188"/>
      <c r="G110" s="188"/>
      <c r="H110" s="188"/>
      <c r="I110" s="13"/>
      <c r="J110" s="13"/>
      <c r="K110" s="13"/>
      <c r="L110" s="13"/>
      <c r="M110" s="13"/>
      <c r="N110" s="13"/>
      <c r="O110" s="14"/>
      <c r="P110" s="13"/>
      <c r="Q110" s="13"/>
      <c r="R110" s="13"/>
      <c r="S110" s="13"/>
      <c r="T110" s="13"/>
      <c r="U110" s="13"/>
      <c r="V110" s="14"/>
      <c r="W110" s="15"/>
      <c r="X110" s="15"/>
      <c r="Y110" s="15"/>
      <c r="Z110" s="15"/>
      <c r="AA110" s="15"/>
      <c r="AB110" s="15"/>
      <c r="AC110" s="15"/>
      <c r="AD110" s="15"/>
      <c r="AE110" s="15"/>
      <c r="AF110" s="15"/>
    </row>
    <row x14ac:dyDescent="0.25" r="111" customHeight="1" ht="16.5">
      <c r="A111" s="14" t="s">
        <v>129</v>
      </c>
      <c r="B111" s="188" t="s">
        <v>130</v>
      </c>
      <c r="C111" s="188"/>
      <c r="D111" s="188"/>
      <c r="E111" s="188"/>
      <c r="F111" s="188"/>
      <c r="G111" s="188"/>
      <c r="H111" s="188"/>
      <c r="I111" s="13"/>
      <c r="J111" s="13"/>
      <c r="K111" s="13"/>
      <c r="L111" s="13"/>
      <c r="M111" s="13"/>
      <c r="N111" s="13"/>
      <c r="O111" s="14"/>
      <c r="P111" s="13"/>
      <c r="Q111" s="13"/>
      <c r="R111" s="13"/>
      <c r="S111" s="13"/>
      <c r="T111" s="13"/>
      <c r="U111" s="13"/>
      <c r="V111" s="14"/>
      <c r="W111" s="15"/>
      <c r="X111" s="15"/>
      <c r="Y111" s="15"/>
      <c r="Z111" s="15"/>
      <c r="AA111" s="15"/>
      <c r="AB111" s="15"/>
      <c r="AC111" s="15"/>
      <c r="AD111" s="15"/>
      <c r="AE111" s="15"/>
      <c r="AF111" s="15"/>
    </row>
  </sheetData>
  <mergeCells count="52">
    <mergeCell ref="B1:D1"/>
    <mergeCell ref="B2:D2"/>
    <mergeCell ref="B3:D3"/>
    <mergeCell ref="B4:D4"/>
    <mergeCell ref="B5:D5"/>
    <mergeCell ref="B6:D6"/>
    <mergeCell ref="B7:D7"/>
    <mergeCell ref="A9:AF9"/>
    <mergeCell ref="B11:H11"/>
    <mergeCell ref="I11:O11"/>
    <mergeCell ref="P11:V11"/>
    <mergeCell ref="W11:AA11"/>
    <mergeCell ref="AB11:AF11"/>
    <mergeCell ref="B20:H20"/>
    <mergeCell ref="I20:O20"/>
    <mergeCell ref="P20:V20"/>
    <mergeCell ref="W20:AA20"/>
    <mergeCell ref="AB20:AF20"/>
    <mergeCell ref="B30:H30"/>
    <mergeCell ref="I30:O30"/>
    <mergeCell ref="P30:V30"/>
    <mergeCell ref="W30:AA30"/>
    <mergeCell ref="AB30:AF30"/>
    <mergeCell ref="A42:AF42"/>
    <mergeCell ref="B44:H44"/>
    <mergeCell ref="I44:O44"/>
    <mergeCell ref="P44:V44"/>
    <mergeCell ref="W44:AA44"/>
    <mergeCell ref="AB44:AF44"/>
    <mergeCell ref="B53:H53"/>
    <mergeCell ref="I53:O53"/>
    <mergeCell ref="P53:V53"/>
    <mergeCell ref="W53:AA53"/>
    <mergeCell ref="AB53:AF53"/>
    <mergeCell ref="B63:H63"/>
    <mergeCell ref="I63:O63"/>
    <mergeCell ref="P63:V63"/>
    <mergeCell ref="W63:AA63"/>
    <mergeCell ref="AB63:AF63"/>
    <mergeCell ref="A73:G74"/>
    <mergeCell ref="A75:O90"/>
    <mergeCell ref="B94:D94"/>
    <mergeCell ref="B95:H95"/>
    <mergeCell ref="B96:H96"/>
    <mergeCell ref="B97:H97"/>
    <mergeCell ref="B98:H98"/>
    <mergeCell ref="B103:H103"/>
    <mergeCell ref="B104:H104"/>
    <mergeCell ref="B105:H105"/>
    <mergeCell ref="B109:H109"/>
    <mergeCell ref="B110:H110"/>
    <mergeCell ref="B111:H111"/>
  </mergeCells>
  <pageMargins left="0.7" right="0.7" top="0.75" bottom="0.75" header="0.3" footer="0.3"/>
</worksheet>
</file>

<file path=docProps/app.xml><?xml version="1.0" encoding="utf-8"?>
<Properties xmlns:vt="http://schemas.openxmlformats.org/officeDocument/2006/docPropsVTypes" xmlns="http://schemas.openxmlformats.org/officeDocument/2006/extended-properties">
  <Application>wijmo.xlsx</Application>
  <DocSecurity>0</DocSecurity>
  <ScaleCrop>false</ScaleCrop>
  <HeadingPairs>
    <vt:vector baseType="variant" size="2">
      <vt:variant>
        <vt:lpstr>Worksheets</vt:lpstr>
      </vt:variant>
      <vt:variant>
        <vt:i4>6</vt:i4>
      </vt:variant>
    </vt:vector>
  </HeadingPairs>
  <TitlesOfParts>
    <vt:vector baseType="lpstr" size="6">
      <vt:lpstr>LS-LLM</vt:lpstr>
      <vt:lpstr>LS-HITL</vt:lpstr>
      <vt:lpstr>UNC-LLM</vt:lpstr>
      <vt:lpstr>UNC-HITL</vt:lpstr>
      <vt:lpstr>LLM</vt:lpstr>
      <vt:lpstr>HITL</vt:lpstr>
    </vt:vector>
  </TitlesOfParts>
  <Manager/>
  <Company>GrapeCity, Inc.</Company>
  <LinksUpToDate>false</LinksUpToDate>
  <SharedDoc>false</SharedDoc>
  <HyperlinksChanged>false</HyperlinksChanged>
  <AppVersion>1.0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2025-08-14T12:17:44.483Z</dcterms:created>
  <dcterms:modified xsi:type="dcterms:W3CDTF">2025-08-14T12:17:44.483Z</dcterms:modified>
</cp:coreProperties>
</file>