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202300"/>
  <mc:AlternateContent xmlns:mc="http://schemas.openxmlformats.org/markup-compatibility/2006">
    <mc:Choice Requires="x15">
      <x15ac:absPath xmlns:x15ac="http://schemas.microsoft.com/office/spreadsheetml/2010/11/ac" url="/Users/andreausai/Desktop/"/>
    </mc:Choice>
  </mc:AlternateContent>
  <xr:revisionPtr revIDLastSave="0" documentId="13_ncr:1_{0E064E36-8A26-F84D-BC31-9E6D7BF0493C}" xr6:coauthVersionLast="47" xr6:coauthVersionMax="47" xr10:uidLastSave="{00000000-0000-0000-0000-000000000000}"/>
  <bookViews>
    <workbookView xWindow="0" yWindow="740" windowWidth="29400" windowHeight="17080" activeTab="2" xr2:uid="{C6431170-4769-0C45-BD90-1EDB01F913AD}"/>
  </bookViews>
  <sheets>
    <sheet name="MITL_FP&amp;HI" sheetId="9" r:id="rId1"/>
    <sheet name="MITL_logical_sequence" sheetId="8" r:id="rId2"/>
    <sheet name="MITL" sheetId="10" r:id="rId3"/>
    <sheet name="Autonomous_FP&amp;HI" sheetId="7" r:id="rId4"/>
    <sheet name="Autonomous_logical_sequence" sheetId="5" r:id="rId5"/>
    <sheet name="Autonomou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68" i="10" l="1"/>
  <c r="AE68" i="10"/>
  <c r="AD68" i="10"/>
  <c r="AC68" i="10"/>
  <c r="AB68" i="10"/>
  <c r="AA68" i="10"/>
  <c r="Z68" i="10"/>
  <c r="Y68" i="10"/>
  <c r="X68" i="10"/>
  <c r="W68" i="10"/>
  <c r="AF67" i="10"/>
  <c r="AE67" i="10"/>
  <c r="AD67" i="10"/>
  <c r="AC67" i="10"/>
  <c r="AB67" i="10"/>
  <c r="AA67" i="10"/>
  <c r="Z67" i="10"/>
  <c r="Y67" i="10"/>
  <c r="X67" i="10"/>
  <c r="W67" i="10"/>
  <c r="AF66" i="10"/>
  <c r="AE66" i="10"/>
  <c r="AD66" i="10"/>
  <c r="AC66" i="10"/>
  <c r="AB66" i="10"/>
  <c r="AA66" i="10"/>
  <c r="Z66" i="10"/>
  <c r="Y66" i="10"/>
  <c r="X66" i="10"/>
  <c r="W66" i="10"/>
  <c r="AF65" i="10"/>
  <c r="AE65" i="10"/>
  <c r="AD65" i="10"/>
  <c r="AC65" i="10"/>
  <c r="AB65" i="10"/>
  <c r="AA65" i="10"/>
  <c r="Z65" i="10"/>
  <c r="Y65" i="10"/>
  <c r="X65" i="10"/>
  <c r="W65" i="10"/>
  <c r="AF58" i="10"/>
  <c r="AE58" i="10"/>
  <c r="AD58" i="10"/>
  <c r="AC58" i="10"/>
  <c r="AB58" i="10"/>
  <c r="AA58" i="10"/>
  <c r="Z58" i="10"/>
  <c r="Y58" i="10"/>
  <c r="X58" i="10"/>
  <c r="W58" i="10"/>
  <c r="AF57" i="10"/>
  <c r="AE57" i="10"/>
  <c r="AD57" i="10"/>
  <c r="AC57" i="10"/>
  <c r="AB57" i="10"/>
  <c r="AA57" i="10"/>
  <c r="Z57" i="10"/>
  <c r="Y57" i="10"/>
  <c r="X57" i="10"/>
  <c r="W57" i="10"/>
  <c r="AF56" i="10"/>
  <c r="AE56" i="10"/>
  <c r="AD56" i="10"/>
  <c r="AC56" i="10"/>
  <c r="AB56" i="10"/>
  <c r="AA56" i="10"/>
  <c r="Z56" i="10"/>
  <c r="Y56" i="10"/>
  <c r="X56" i="10"/>
  <c r="W56" i="10"/>
  <c r="AF55" i="10"/>
  <c r="AE55" i="10"/>
  <c r="AD55" i="10"/>
  <c r="AC55" i="10"/>
  <c r="AB55" i="10"/>
  <c r="AA55" i="10"/>
  <c r="Z55" i="10"/>
  <c r="Y55" i="10"/>
  <c r="X55" i="10"/>
  <c r="W55" i="10"/>
  <c r="AF49" i="10"/>
  <c r="AE49" i="10"/>
  <c r="AD49" i="10"/>
  <c r="AC49" i="10"/>
  <c r="AB49" i="10"/>
  <c r="AA49" i="10"/>
  <c r="Z49" i="10"/>
  <c r="Y49" i="10"/>
  <c r="W49" i="10"/>
  <c r="X49" i="10"/>
  <c r="AF48" i="10"/>
  <c r="AE48" i="10"/>
  <c r="AD48" i="10"/>
  <c r="AC48" i="10"/>
  <c r="AB48" i="10"/>
  <c r="AA48" i="10"/>
  <c r="Z48" i="10"/>
  <c r="Y48" i="10"/>
  <c r="X48" i="10"/>
  <c r="W48" i="10"/>
  <c r="AF47" i="10"/>
  <c r="AE47" i="10"/>
  <c r="AD47" i="10"/>
  <c r="AC47" i="10"/>
  <c r="AB47" i="10"/>
  <c r="AA47" i="10"/>
  <c r="Z47" i="10"/>
  <c r="Y47" i="10"/>
  <c r="X47" i="10"/>
  <c r="W47" i="10"/>
  <c r="AF46" i="10"/>
  <c r="AE46" i="10"/>
  <c r="AD46" i="10"/>
  <c r="AC46" i="10"/>
  <c r="AB46" i="10"/>
  <c r="AA46" i="10"/>
  <c r="Z46" i="10"/>
  <c r="Y46" i="10"/>
  <c r="X46" i="10"/>
  <c r="W46" i="10"/>
  <c r="AF35" i="10"/>
  <c r="AE35" i="10"/>
  <c r="AD35" i="10"/>
  <c r="AC35" i="10"/>
  <c r="AB35" i="10"/>
  <c r="AA35" i="10"/>
  <c r="Z35" i="10"/>
  <c r="Y35" i="10"/>
  <c r="X35" i="10"/>
  <c r="W35" i="10"/>
  <c r="AF34" i="10"/>
  <c r="AE34" i="10"/>
  <c r="AD34" i="10"/>
  <c r="AC34" i="10"/>
  <c r="AB34" i="10"/>
  <c r="AA34" i="10"/>
  <c r="Z34" i="10"/>
  <c r="Y34" i="10"/>
  <c r="X34" i="10"/>
  <c r="W34" i="10"/>
  <c r="AF33" i="10"/>
  <c r="AE33" i="10"/>
  <c r="AD33" i="10"/>
  <c r="AC33" i="10"/>
  <c r="AB33" i="10"/>
  <c r="AA33" i="10"/>
  <c r="Z33" i="10"/>
  <c r="Y33" i="10"/>
  <c r="X33" i="10"/>
  <c r="W33" i="10"/>
  <c r="AF32" i="10"/>
  <c r="AE32" i="10"/>
  <c r="AD32" i="10"/>
  <c r="AC32" i="10"/>
  <c r="AB32" i="10"/>
  <c r="AA32" i="10"/>
  <c r="Z32" i="10"/>
  <c r="Y32" i="10"/>
  <c r="X32" i="10"/>
  <c r="W32" i="10"/>
  <c r="AF25" i="10"/>
  <c r="AE25" i="10"/>
  <c r="AD25" i="10"/>
  <c r="AC25" i="10"/>
  <c r="AB25" i="10"/>
  <c r="AA25" i="10"/>
  <c r="Z25" i="10"/>
  <c r="Y25" i="10"/>
  <c r="X25" i="10"/>
  <c r="W25" i="10"/>
  <c r="AF24" i="10"/>
  <c r="AE24" i="10"/>
  <c r="AD24" i="10"/>
  <c r="AC24" i="10"/>
  <c r="AB24" i="10"/>
  <c r="AA24" i="10"/>
  <c r="Z24" i="10"/>
  <c r="Y24" i="10"/>
  <c r="X24" i="10"/>
  <c r="W24" i="10"/>
  <c r="AF23" i="10"/>
  <c r="AE23" i="10"/>
  <c r="AD23" i="10"/>
  <c r="AC23" i="10"/>
  <c r="AB23" i="10"/>
  <c r="AA23" i="10"/>
  <c r="Z23" i="10"/>
  <c r="Y23" i="10"/>
  <c r="X23" i="10"/>
  <c r="W23" i="10"/>
  <c r="AF22" i="10"/>
  <c r="AE22" i="10"/>
  <c r="AD22" i="10"/>
  <c r="AC22" i="10"/>
  <c r="AB22" i="10"/>
  <c r="AA22" i="10"/>
  <c r="Z22" i="10"/>
  <c r="Y22" i="10"/>
  <c r="X22" i="10"/>
  <c r="W22" i="10"/>
  <c r="AF16" i="10"/>
  <c r="AE16" i="10"/>
  <c r="AD16" i="10"/>
  <c r="AC16" i="10"/>
  <c r="AB16" i="10"/>
  <c r="AA16" i="10"/>
  <c r="Z16" i="10"/>
  <c r="Y16" i="10"/>
  <c r="X16" i="10"/>
  <c r="W16" i="10"/>
  <c r="AF15" i="10"/>
  <c r="AE15" i="10"/>
  <c r="AD15" i="10"/>
  <c r="AC15" i="10"/>
  <c r="AB15" i="10"/>
  <c r="AA15" i="10"/>
  <c r="Z15" i="10"/>
  <c r="Y15" i="10"/>
  <c r="X15" i="10"/>
  <c r="W15" i="10"/>
  <c r="AF14" i="10"/>
  <c r="AE14" i="10"/>
  <c r="AD14" i="10"/>
  <c r="AC14" i="10"/>
  <c r="AB14" i="10"/>
  <c r="AA14" i="10"/>
  <c r="Z14" i="10"/>
  <c r="Y14" i="10"/>
  <c r="X14" i="10"/>
  <c r="W14" i="10"/>
  <c r="AF13" i="10"/>
  <c r="AE13" i="10"/>
  <c r="AD13" i="10"/>
  <c r="AC13" i="10"/>
  <c r="AB13" i="10"/>
  <c r="AA13" i="10"/>
  <c r="Z13" i="10"/>
  <c r="Y13" i="10"/>
  <c r="X13" i="10"/>
  <c r="W13" i="10"/>
  <c r="C7" i="7"/>
  <c r="W66" i="2"/>
  <c r="X66" i="2"/>
  <c r="Y66" i="2"/>
  <c r="Z66" i="2"/>
  <c r="AA66" i="2"/>
  <c r="AB66" i="2"/>
  <c r="AC66" i="2"/>
  <c r="AD66" i="2"/>
  <c r="AE66" i="2"/>
  <c r="AF66" i="2"/>
  <c r="W67" i="2"/>
  <c r="X67" i="2"/>
  <c r="Y67" i="2"/>
  <c r="Z67" i="2"/>
  <c r="AA67" i="2"/>
  <c r="AB67" i="2"/>
  <c r="AC67" i="2"/>
  <c r="AD67" i="2"/>
  <c r="AE67" i="2"/>
  <c r="AF67" i="2"/>
  <c r="W68" i="2"/>
  <c r="X68" i="2"/>
  <c r="Y68" i="2"/>
  <c r="Z68" i="2"/>
  <c r="AA68" i="2"/>
  <c r="AB68" i="2"/>
  <c r="AC68" i="2"/>
  <c r="AD68" i="2"/>
  <c r="AE68" i="2"/>
  <c r="AF68" i="2"/>
  <c r="W47" i="2"/>
  <c r="X47" i="2"/>
  <c r="Y47" i="2"/>
  <c r="Z47" i="2"/>
  <c r="AA47" i="2"/>
  <c r="AB47" i="2"/>
  <c r="AC47" i="2"/>
  <c r="AD47" i="2"/>
  <c r="AE47" i="2"/>
  <c r="AF47" i="2"/>
  <c r="W48" i="2"/>
  <c r="X48" i="2"/>
  <c r="Y48" i="2"/>
  <c r="Z48" i="2"/>
  <c r="AA48" i="2"/>
  <c r="AB48" i="2"/>
  <c r="AC48" i="2"/>
  <c r="AD48" i="2"/>
  <c r="AE48" i="2"/>
  <c r="AF48" i="2"/>
  <c r="W57" i="2"/>
  <c r="AB56" i="2"/>
  <c r="AC56" i="2"/>
  <c r="AD56" i="2"/>
  <c r="AE56" i="2"/>
  <c r="AF56" i="2"/>
  <c r="AB57" i="2"/>
  <c r="AC57" i="2"/>
  <c r="AD57" i="2"/>
  <c r="AE57" i="2"/>
  <c r="AF57" i="2"/>
  <c r="W56" i="2"/>
  <c r="X56" i="2"/>
  <c r="Y56" i="2"/>
  <c r="Z56" i="2"/>
  <c r="AA56" i="2"/>
  <c r="X57" i="2"/>
  <c r="Y57" i="2"/>
  <c r="Z57" i="2"/>
  <c r="AA57" i="2"/>
  <c r="W58" i="2"/>
  <c r="X58" i="2"/>
  <c r="Y58" i="2"/>
  <c r="Z58" i="2"/>
  <c r="AA58" i="2"/>
  <c r="W33" i="2"/>
  <c r="X33" i="2"/>
  <c r="Y33" i="2"/>
  <c r="Z33" i="2"/>
  <c r="AA33" i="2"/>
  <c r="AB33" i="2"/>
  <c r="AC33" i="2"/>
  <c r="AD33" i="2"/>
  <c r="AE33" i="2"/>
  <c r="AF33" i="2"/>
  <c r="AC32" i="2"/>
  <c r="AD32" i="2"/>
  <c r="AE32" i="2"/>
  <c r="AF32" i="2"/>
  <c r="AB32" i="2"/>
  <c r="X32" i="2"/>
  <c r="Y32" i="2"/>
  <c r="Z32" i="2"/>
  <c r="AA32" i="2"/>
  <c r="W32" i="2"/>
  <c r="AB23" i="2"/>
  <c r="AC23" i="2"/>
  <c r="AD23" i="2"/>
  <c r="AE23" i="2"/>
  <c r="AF23" i="2"/>
  <c r="W23" i="2"/>
  <c r="X23" i="2"/>
  <c r="Y23" i="2"/>
  <c r="Z23" i="2"/>
  <c r="AA23" i="2"/>
  <c r="AB15" i="2"/>
  <c r="AC15" i="2"/>
  <c r="AD15" i="2"/>
  <c r="AE15" i="2"/>
  <c r="AF15" i="2"/>
  <c r="W15" i="2"/>
  <c r="X15" i="2"/>
  <c r="Y15" i="2"/>
  <c r="Z15" i="2"/>
  <c r="AA15" i="2"/>
  <c r="AD46" i="2"/>
  <c r="AF65" i="2"/>
  <c r="AE65" i="2"/>
  <c r="AD65" i="2"/>
  <c r="AC65" i="2"/>
  <c r="AB65" i="2"/>
  <c r="AA65" i="2"/>
  <c r="Z65" i="2"/>
  <c r="Y65" i="2"/>
  <c r="X65" i="2"/>
  <c r="W65" i="2"/>
  <c r="AF58" i="2"/>
  <c r="AE58" i="2"/>
  <c r="AD58" i="2"/>
  <c r="AC58" i="2"/>
  <c r="AB58" i="2"/>
  <c r="AF55" i="2"/>
  <c r="AE55" i="2"/>
  <c r="AD55" i="2"/>
  <c r="AC55" i="2"/>
  <c r="AB55" i="2"/>
  <c r="AA55" i="2"/>
  <c r="Z55" i="2"/>
  <c r="Y55" i="2"/>
  <c r="X55" i="2"/>
  <c r="W55" i="2"/>
  <c r="AF49" i="2"/>
  <c r="AE49" i="2"/>
  <c r="AD49" i="2"/>
  <c r="AB49" i="2"/>
  <c r="AA49" i="2"/>
  <c r="Z49" i="2"/>
  <c r="Y49" i="2"/>
  <c r="W49" i="2"/>
  <c r="C49" i="2"/>
  <c r="AC49" i="2" s="1"/>
  <c r="AF46" i="2"/>
  <c r="AE46" i="2"/>
  <c r="AC46" i="2"/>
  <c r="AB46" i="2"/>
  <c r="AA46" i="2"/>
  <c r="Z46" i="2"/>
  <c r="Y46" i="2"/>
  <c r="X46" i="2"/>
  <c r="W46" i="2"/>
  <c r="AC35" i="2"/>
  <c r="AC34" i="2"/>
  <c r="X35" i="2"/>
  <c r="X34" i="2"/>
  <c r="X25" i="2"/>
  <c r="X24" i="2"/>
  <c r="X22" i="2"/>
  <c r="AC25" i="2"/>
  <c r="AC24" i="2"/>
  <c r="AC22" i="2"/>
  <c r="AC14" i="2"/>
  <c r="AC16" i="2"/>
  <c r="AC13" i="2"/>
  <c r="AD13" i="2"/>
  <c r="AE13" i="2"/>
  <c r="AF13" i="2"/>
  <c r="X14" i="2"/>
  <c r="X16" i="2"/>
  <c r="X13" i="2"/>
  <c r="AF35" i="2"/>
  <c r="AE35" i="2"/>
  <c r="AD35" i="2"/>
  <c r="AB35" i="2"/>
  <c r="AA35" i="2"/>
  <c r="Z35" i="2"/>
  <c r="Y35" i="2"/>
  <c r="W35" i="2"/>
  <c r="AF34" i="2"/>
  <c r="AE34" i="2"/>
  <c r="AD34" i="2"/>
  <c r="AB34" i="2"/>
  <c r="AA34" i="2"/>
  <c r="Z34" i="2"/>
  <c r="Y34" i="2"/>
  <c r="W34" i="2"/>
  <c r="AF25" i="2"/>
  <c r="AE25" i="2"/>
  <c r="AD25" i="2"/>
  <c r="AB25" i="2"/>
  <c r="AA25" i="2"/>
  <c r="Z25" i="2"/>
  <c r="Y25" i="2"/>
  <c r="W25" i="2"/>
  <c r="AF24" i="2"/>
  <c r="AE24" i="2"/>
  <c r="AD24" i="2"/>
  <c r="AB24" i="2"/>
  <c r="AA24" i="2"/>
  <c r="Z24" i="2"/>
  <c r="Y24" i="2"/>
  <c r="W24" i="2"/>
  <c r="AF22" i="2"/>
  <c r="AE22" i="2"/>
  <c r="AD22" i="2"/>
  <c r="AB22" i="2"/>
  <c r="AA22" i="2"/>
  <c r="Z22" i="2"/>
  <c r="Y22" i="2"/>
  <c r="W22" i="2"/>
  <c r="AF16" i="2"/>
  <c r="AE16" i="2"/>
  <c r="AD16" i="2"/>
  <c r="AB16" i="2"/>
  <c r="AA16" i="2"/>
  <c r="Z16" i="2"/>
  <c r="Y16" i="2"/>
  <c r="W16" i="2"/>
  <c r="AF14" i="2"/>
  <c r="AE14" i="2"/>
  <c r="AD14" i="2"/>
  <c r="AB14" i="2"/>
  <c r="AA14" i="2"/>
  <c r="Z14" i="2"/>
  <c r="Y14" i="2"/>
  <c r="W14" i="2"/>
  <c r="AB13" i="2"/>
  <c r="AA13" i="2"/>
  <c r="Z13" i="2"/>
  <c r="Y13" i="2"/>
  <c r="W13" i="2"/>
  <c r="X49" i="2" l="1"/>
</calcChain>
</file>

<file path=xl/sharedStrings.xml><?xml version="1.0" encoding="utf-8"?>
<sst xmlns="http://schemas.openxmlformats.org/spreadsheetml/2006/main" count="849" uniqueCount="184">
  <si>
    <t>Camera_1</t>
  </si>
  <si>
    <t>Lidar_3</t>
  </si>
  <si>
    <t>Errori sintattici di scrittura dei parametri delle funzioni</t>
  </si>
  <si>
    <t xml:space="preserve">Errori meno gravi che però non alterano necessariamente la validità del plan (e.g. apertura di porte già aperte, azioni inutili aggiuntive) </t>
  </si>
  <si>
    <t>intesi come errori logici del plan (e.g. movimento del robot sbagliato,)</t>
  </si>
  <si>
    <t>Task/Sensor</t>
  </si>
  <si>
    <t>Error Plan (EP)</t>
  </si>
  <si>
    <t>EP</t>
  </si>
  <si>
    <t>Error action (EA)</t>
  </si>
  <si>
    <t>EA</t>
  </si>
  <si>
    <t>SUC</t>
  </si>
  <si>
    <t>Success (SUC)</t>
  </si>
  <si>
    <t>Allucination (ALL)</t>
  </si>
  <si>
    <t>ALL</t>
  </si>
  <si>
    <t>TRIAL 1</t>
  </si>
  <si>
    <t>TRIAL 2</t>
  </si>
  <si>
    <t>TRIAL 3</t>
  </si>
  <si>
    <t>MEAN</t>
  </si>
  <si>
    <t>STD</t>
  </si>
  <si>
    <t>completamento del plan originale se corretto o modificato dall'umano se sbagliato (effettiva identificazione del pedone</t>
  </si>
  <si>
    <t>Lidar_5, Camera_2</t>
  </si>
  <si>
    <t>NA</t>
  </si>
  <si>
    <t>Annotazioni</t>
  </si>
  <si>
    <t>Lidar_7</t>
  </si>
  <si>
    <t>Lidar_5, Lidar_4</t>
  </si>
  <si>
    <t>Lidar_8, Lidar_6</t>
  </si>
  <si>
    <t>Lidar_3, Camera_1, Lidar_7</t>
  </si>
  <si>
    <t>Lidar_6, Lidar_8, Lidar_1</t>
  </si>
  <si>
    <t>3 allucinazioni: apertura di porte già aperte</t>
  </si>
  <si>
    <t>FP</t>
  </si>
  <si>
    <t>False positive</t>
  </si>
  <si>
    <t>HI</t>
  </si>
  <si>
    <t>Hidden intruder</t>
  </si>
  <si>
    <r>
      <rPr>
        <sz val="12"/>
        <color rgb="FFFF0000"/>
        <rFont val="Aptos Narrow (Corpo)"/>
      </rPr>
      <t>Lidar_4 - FP</t>
    </r>
    <r>
      <rPr>
        <sz val="12"/>
        <color theme="1"/>
        <rFont val="Aptos Narrow"/>
        <family val="2"/>
        <scheme val="minor"/>
      </rPr>
      <t>, Lidar_2
(l'intruso rimane in area A)</t>
    </r>
  </si>
  <si>
    <r>
      <t xml:space="preserve">Lidar_5 - HI
</t>
    </r>
    <r>
      <rPr>
        <sz val="12"/>
        <color theme="1"/>
        <rFont val="Aptos Narrow (Corpo)"/>
      </rPr>
      <t>(l'intruso entra in area C)</t>
    </r>
  </si>
  <si>
    <r>
      <t xml:space="preserve">Camera_1, </t>
    </r>
    <r>
      <rPr>
        <sz val="12"/>
        <color rgb="FFFF0000"/>
        <rFont val="Aptos Narrow (Corpo)"/>
      </rPr>
      <t>Lidar_3</t>
    </r>
    <r>
      <rPr>
        <sz val="12"/>
        <color theme="1"/>
        <rFont val="Aptos Narrow"/>
        <family val="2"/>
        <scheme val="minor"/>
      </rPr>
      <t xml:space="preserve"> </t>
    </r>
    <r>
      <rPr>
        <sz val="12"/>
        <color rgb="FFFF0000"/>
        <rFont val="Aptos Narrow (Corpo)"/>
      </rPr>
      <t>- HI</t>
    </r>
    <r>
      <rPr>
        <sz val="12"/>
        <color theme="1"/>
        <rFont val="Aptos Narrow"/>
        <family val="2"/>
        <scheme val="minor"/>
      </rPr>
      <t xml:space="preserve">
(intruso entra in area D)</t>
    </r>
  </si>
  <si>
    <t>Number of Action (NA)</t>
  </si>
  <si>
    <t>Numero di funzioni chiamate durante tutto l'esperimento</t>
  </si>
  <si>
    <t>3 allucinazioni: ha aperto porte che erano già aperte</t>
  </si>
  <si>
    <t>2 alliucinazioni: ha aperto porte che erano già aperte</t>
  </si>
  <si>
    <t>4 allucinazioni: apertura di porte già aperte</t>
  </si>
  <si>
    <t>2 allucinazioni: apertura di porte che erano già aperte</t>
  </si>
  <si>
    <t>3 allucinazioni: aperture porte già aperte</t>
  </si>
  <si>
    <t>Camera_2,Lidar_6, Lidar_8</t>
  </si>
  <si>
    <t>1 allucinazione: apertura porte già aperte</t>
  </si>
  <si>
    <t>2 allucinazioni: apertura di porte già aperte</t>
  </si>
  <si>
    <t>2 allucinazioni: apertura di porte già aperte
1 allucinazione: connessione tra aree inesistente
1 allucinazione: invio di robot in maniera poco efficiente</t>
  </si>
  <si>
    <t>1 allucinazione: invio del robot più lontano nell'area 
1 Error plan: ha mandato il robot in un'area non adiacente e inutile da controllare</t>
  </si>
  <si>
    <t xml:space="preserve">1 allucinazione: apertura di porte già aperte
</t>
  </si>
  <si>
    <r>
      <t xml:space="preserve">2 allucinazione nel plan: ha indicato una porta sbagliata come collegamento tra due aree
2 allucinazioni nelle azioni: apre porte già aperte
Fallimento dovuto al fatto che ha controllato solo parte delle aree adiacenti a quelle considerate. Non ha controllato l'area D
</t>
    </r>
    <r>
      <rPr>
        <sz val="12"/>
        <color rgb="FFFF0000"/>
        <rFont val="Aptos Narrow (Corpo)"/>
      </rPr>
      <t>Da capre se il non aver controllato altre aree sia da considerare un errore nel plan oppure no</t>
    </r>
  </si>
  <si>
    <t>1 allucinazione: mandato il robot più lontano per verificare l'area
1 allucinazione: ha riportato come area principale la E al posto della D, quindi ha indicato tutte le aree adiacenti alla E e non alla D
1 Error Plan: deployment del robot in un'area non adiacente
1 Error Plan: non investigare nell'area effettivamente adiacente e interrompere la sorveglianza</t>
  </si>
  <si>
    <t>2 allucinazioni: apertura porte già aperte
1 allucinazione: ha inviato i robot in maniera poco efficiente nelle aree da investigare (considerando i robot più lontani invece che quelli più vicini)</t>
  </si>
  <si>
    <t>1 allucinazione: apertura porta già aperta</t>
  </si>
  <si>
    <t>1 allucinazione: invio robot nelle aree più lontane
4 allucinazioni: aperture di porte già aperte</t>
  </si>
  <si>
    <t>1 allucinazione: invio di robot nelle aree più distanti
2 allucinazioni: aperture di porte già aperte</t>
  </si>
  <si>
    <t>1 alucinazione: invio di robot nelle aree più lontane
3 allucinazioni: apertura di porte già aperte</t>
  </si>
  <si>
    <t xml:space="preserve">2 allucinazioni: aperture di porte già aperte
2 allucinazione: considerato area da controllare inutile (ma non ha deployato il robot)
1 invio dei robot in aree distanti (poca efficienza)
</t>
  </si>
  <si>
    <t xml:space="preserve">2 allucinazioni: aperture di porte già aperte
</t>
  </si>
  <si>
    <t>2 allucinazioni: apertura porte già aperte</t>
  </si>
  <si>
    <t>Fallito perché non ha creato un piano ulteriore dopo aver ricevuto il feedback del robot</t>
  </si>
  <si>
    <t>1 allucinazione: ha inviato il robot più lontano per monitorare l'area
1 Error Plan: non ha proposto di verificare l'area corretta
2 Error Plan: ha proposto di verificare due aree inutili</t>
  </si>
  <si>
    <t>3 allucinazioni: aperture di porte già aperte</t>
  </si>
  <si>
    <t>1 allucinazione: apertura di porte già aperte
2 Error Plan: ha controllato due aree non direttamente adiacenti
Fallimento dovuto al fatto che ha smesso di verificare le aree senza controllare l'area G.</t>
  </si>
  <si>
    <t xml:space="preserve">3 allucinazioni: aperture di porte già aperte
1 allucinazione: invio dei robot in maniera poco efficiente (nelle aree più lontane)
</t>
  </si>
  <si>
    <t>2 allucinazioni: aperture di porte già aperte
1 allucinazione: ha proposto di mandare il robot più lontano per controllare un'area</t>
  </si>
  <si>
    <t>2 allucinazioni: apertura di porte che erano già aperte
1 allucinazione: invio robot nelle aree più distanti</t>
  </si>
  <si>
    <t xml:space="preserve">
1 allucinazione: aperture di porta già aperta</t>
  </si>
  <si>
    <t xml:space="preserve">2 allucinazioni: aperture di porte già aperte </t>
  </si>
  <si>
    <t>1 allcuinazione: apertura di porte già aperte</t>
  </si>
  <si>
    <t>AUTONOMOUS TEST - LOGICAL SEQUENCE</t>
  </si>
  <si>
    <t>AUTONOMOUS TEST - FALSE POSITIVE &amp; HIDDEN INTRUDER</t>
  </si>
  <si>
    <t>Lidar 6</t>
  </si>
  <si>
    <t>Lidar_6, Lidar_2</t>
  </si>
  <si>
    <t>Lidar_2, Lidar_5, Lidar_4</t>
  </si>
  <si>
    <t>1 allucinazione: invio di robot nelle aree più lontane
2 allucinazioni: aperture di porte già aperte</t>
  </si>
  <si>
    <t>CONSIDERAZIONI GENERALI</t>
  </si>
  <si>
    <t>1 Error Plan:  ha sbagliato l a posizione di un lidar, mandando il robot in un'area errata.
3 Error Plan: legati al precedente, ha continuato a sbagliare aree in cui inviare il robot
2 allucinazioni: aperture di porte già aperte</t>
  </si>
  <si>
    <t xml:space="preserve">2 allucinazioni: apertura di porte già aperte
</t>
  </si>
  <si>
    <t xml:space="preserve">Lidar_2 - FP
</t>
  </si>
  <si>
    <t>Camera_2 - FP</t>
  </si>
  <si>
    <r>
      <t>Lidar_3,</t>
    </r>
    <r>
      <rPr>
        <sz val="12"/>
        <color rgb="FFFF0000"/>
        <rFont val="Aptos Narrow (Corpo)"/>
      </rPr>
      <t xml:space="preserve"> Lidar_8 - FP</t>
    </r>
    <r>
      <rPr>
        <sz val="12"/>
        <color theme="1"/>
        <rFont val="Aptos Narrow"/>
        <family val="2"/>
        <scheme val="minor"/>
      </rPr>
      <t xml:space="preserve">
(l'intruso rimane in area C)</t>
    </r>
  </si>
  <si>
    <r>
      <t>Lidar_2,</t>
    </r>
    <r>
      <rPr>
        <sz val="12"/>
        <color rgb="FFFF0000"/>
        <rFont val="Aptos Narrow (Corpo)"/>
      </rPr>
      <t xml:space="preserve"> Lidar_1 - HI
</t>
    </r>
    <r>
      <rPr>
        <sz val="12"/>
        <color theme="1"/>
        <rFont val="Aptos Narrow (Corpo)"/>
      </rPr>
      <t>(l'intruso si nasconde in area G)</t>
    </r>
  </si>
  <si>
    <r>
      <t xml:space="preserve">Lidar_5, Lidar_4, </t>
    </r>
    <r>
      <rPr>
        <sz val="12"/>
        <color rgb="FFFF0000"/>
        <rFont val="Aptos Narrow (Corpo)"/>
      </rPr>
      <t xml:space="preserve">Lidar_6 -HI
</t>
    </r>
    <r>
      <rPr>
        <sz val="12"/>
        <color theme="1"/>
        <rFont val="Aptos Narrow (Corpo)"/>
      </rPr>
      <t>(l'intruso si nasconde in A)</t>
    </r>
  </si>
  <si>
    <r>
      <rPr>
        <sz val="12"/>
        <color theme="1"/>
        <rFont val="Aptos Narrow (Corpo)"/>
      </rPr>
      <t>Lidar_1</t>
    </r>
    <r>
      <rPr>
        <sz val="12"/>
        <color theme="1"/>
        <rFont val="Aptos Narrow"/>
        <family val="2"/>
        <scheme val="minor"/>
      </rPr>
      <t xml:space="preserve">, Lidar_2, </t>
    </r>
    <r>
      <rPr>
        <sz val="12"/>
        <color rgb="FFFF0000"/>
        <rFont val="Aptos Narrow (Corpo)"/>
      </rPr>
      <t>Camera_2  -FP</t>
    </r>
    <r>
      <rPr>
        <sz val="12"/>
        <color theme="1"/>
        <rFont val="Aptos Narrow"/>
        <family val="2"/>
        <scheme val="minor"/>
      </rPr>
      <t xml:space="preserve">
(l'intruso rimane in A)</t>
    </r>
  </si>
  <si>
    <r>
      <t xml:space="preserve">Camera_1, </t>
    </r>
    <r>
      <rPr>
        <sz val="12"/>
        <color theme="1"/>
        <rFont val="Aptos Narrow (Corpo)"/>
      </rPr>
      <t>Lidar_6</t>
    </r>
    <r>
      <rPr>
        <sz val="12"/>
        <color theme="1"/>
        <rFont val="Aptos Narrow"/>
        <family val="2"/>
        <scheme val="minor"/>
      </rPr>
      <t>,</t>
    </r>
    <r>
      <rPr>
        <sz val="12"/>
        <color rgb="FFFF0000"/>
        <rFont val="Aptos Narrow (Corpo)"/>
      </rPr>
      <t xml:space="preserve"> Lidar_5 - FP</t>
    </r>
    <r>
      <rPr>
        <sz val="12"/>
        <color theme="1"/>
        <rFont val="Aptos Narrow"/>
        <family val="2"/>
        <scheme val="minor"/>
      </rPr>
      <t xml:space="preserve">
(l'intruso rimane in G)</t>
    </r>
  </si>
  <si>
    <r>
      <t xml:space="preserve">Lidar_7, Lidar_2, </t>
    </r>
    <r>
      <rPr>
        <sz val="12"/>
        <color rgb="FFFF0000"/>
        <rFont val="Aptos Narrow (Corpo)"/>
      </rPr>
      <t>Lidar_1</t>
    </r>
    <r>
      <rPr>
        <sz val="12"/>
        <color theme="1"/>
        <rFont val="Aptos Narrow"/>
        <family val="2"/>
        <scheme val="minor"/>
      </rPr>
      <t xml:space="preserve"> </t>
    </r>
    <r>
      <rPr>
        <sz val="12"/>
        <color rgb="FFFF0000"/>
        <rFont val="Aptos Narrow (Corpo)"/>
      </rPr>
      <t>- HI</t>
    </r>
    <r>
      <rPr>
        <sz val="12"/>
        <color theme="1"/>
        <rFont val="Aptos Narrow"/>
        <family val="2"/>
        <scheme val="minor"/>
      </rPr>
      <t xml:space="preserve">
(l'intruso rimane in G)</t>
    </r>
  </si>
  <si>
    <r>
      <t>Lidar_1 - HI</t>
    </r>
    <r>
      <rPr>
        <sz val="12"/>
        <color theme="1"/>
        <rFont val="Aptos Narrow (Corpo)"/>
      </rPr>
      <t xml:space="preserve">
(l'intruso si nasconde in G)</t>
    </r>
  </si>
  <si>
    <t>1 Error Plan: non ha considerato l'area G come area da monitorare</t>
  </si>
  <si>
    <t>2 error plan: ha controllato aree non adiacenti (C, D)
1 error plan: non ha indicato l'area H come area da monitorare</t>
  </si>
  <si>
    <t>2 error plan: ha controllato aree non adiacenti (C, D)
2  error plan: non ha indicato l'area H ed E come area da monitorare</t>
  </si>
  <si>
    <t>1 Allucinazione: ha chiamata  retrieve system state inutilmente dopo aver inviato i robot</t>
  </si>
  <si>
    <t>2 allucinazioni: apertura porte già aperte
1 allucinazione: ha inviato i robot in maniera poco efficiente nelle aree da investigare (considerando i robot più lontani invece che quelli più vicini)
1 allucinazione: ha riportato un ros topic per il controllo del robbot in maniera inutile</t>
  </si>
  <si>
    <t xml:space="preserve">2 allucinazioni: apertura porte già aperte
1 allucinazione: ha inviato i robot in maniera poco efficiente nelle aree da investigare (considerando i robot più lontani invece che quelli più vicini)
</t>
  </si>
  <si>
    <t xml:space="preserve">2 allucinazioni: apertura porte già aperte
1 Error Plan: ha considerato l'area F e ci ha mandato il robot
1 Error Plan: non ha considerato da analizzare l'area C, adiacente alla B
</t>
  </si>
  <si>
    <t>1 allucinazione: apertura di porte già aperte
1 Error Plan: non ha considerato da analizzare l'area C, adiacente alla B</t>
  </si>
  <si>
    <t>1 Allucinazione: apertura di porte già aperte</t>
  </si>
  <si>
    <t>1 error plan: attivazione di una camera</t>
  </si>
  <si>
    <t>1 allucinazione: invio dei robot nelle aree più lontane
2 allucinazioni: aperture di porte già aperte
2 Error Plan: non ha proposto di verificare ne area E ne area A</t>
  </si>
  <si>
    <t>1 allucinazione: invio dei robot nelle aree più lontane
6 allucinazioni: aperture di porte già aperte
1 Error Plan: non ha proposto di verificare l'area E
2 Error Plan: ha monitorato area G e H, inutili</t>
  </si>
  <si>
    <t>1 allucinazione: invio dei robot nelle aree più lontane
3 allucinazioni: aperture di porte già aperte
1 Error Plan: non ha verificato l'area A</t>
  </si>
  <si>
    <t>UA</t>
  </si>
  <si>
    <t>TOT ALL</t>
  </si>
  <si>
    <r>
      <t xml:space="preserve">Sembrerebe che per  essere sicuro che il sistema abbia le porte aperte, l'LLM vada comunque ad eseguire delle azioni di sicurezza in maniera ridondante per garantire comunque l'esecuzione della task (nonostante comunque nel prompt sia detto espressamente di evitare di eseguire azioni inutili). 
Sembrerebbe che piuttosto che riorganizzare il plan, l'LLM vada ad aggiungere nuove azioni al plan se quello precedente non prevede degli errori completi rispetto alle nuove attivazioni. Questo fa si che le allucinazioni di mandare un robot più distante verso una zona si propaghino anche nei plan successivi e che non vengano modificati, anche se espressamente detto nel prompt di tenere in considerazione le possibili distanze dalle aree
</t>
    </r>
    <r>
      <rPr>
        <sz val="18"/>
        <color rgb="FFFF0000"/>
        <rFont val="Aptos Narrow (Corpo)"/>
      </rPr>
      <t>Da aggiungere due azioni a ogni esperimento che possa considerare la chiusura delle porte per isolare l'intruso</t>
    </r>
    <r>
      <rPr>
        <sz val="18"/>
        <color theme="1"/>
        <rFont val="Aptos Narrow"/>
        <family val="2"/>
        <scheme val="minor"/>
      </rPr>
      <t xml:space="preserve"> (nel caso in cui si identifichi l'intruso)
Nel caso di Error Plan alti, ciò è dovuto principlamente all'errore iniziale di considerare un'area sbagliata. In seguito sembra che l'errore si sia propagato per tutto il plan.</t>
    </r>
  </si>
  <si>
    <t>[FAIL] fail:it didn't create the plan after received back the report from deployed robot</t>
  </si>
  <si>
    <t>[ERROR PLAN] unmonitored area:1
[FAIL] fail:it didn't monitor the area with the intruder</t>
  </si>
  <si>
    <t>[ERROR PLAN] non-adjacent area monitored:2
[ERROR PLAN] unmonitored area:1</t>
  </si>
  <si>
    <t>Lidar_1 - HI</t>
  </si>
  <si>
    <t>Lidar_2 - FP</t>
  </si>
  <si>
    <t>Lidar_5 - HI</t>
  </si>
  <si>
    <r>
      <t xml:space="preserve">Camera_1, </t>
    </r>
    <r>
      <rPr>
        <sz val="12"/>
        <color rgb="FFFF0000"/>
        <rFont val="Aptos Narrow (Corpo)"/>
      </rPr>
      <t>Lidar_3</t>
    </r>
    <r>
      <rPr>
        <sz val="12"/>
        <color theme="1"/>
        <rFont val="Aptos Narrow"/>
        <family val="2"/>
        <scheme val="minor"/>
      </rPr>
      <t xml:space="preserve"> </t>
    </r>
    <r>
      <rPr>
        <sz val="12"/>
        <color rgb="FFFF0000"/>
        <rFont val="Aptos Narrow (Corpo)"/>
      </rPr>
      <t>- HI</t>
    </r>
  </si>
  <si>
    <r>
      <t>Lidar_2,</t>
    </r>
    <r>
      <rPr>
        <sz val="12"/>
        <color rgb="FFFF0000"/>
        <rFont val="Aptos Narrow (Corpo)"/>
      </rPr>
      <t xml:space="preserve"> Lidar_1 - HI</t>
    </r>
  </si>
  <si>
    <r>
      <t>Lidar_3,</t>
    </r>
    <r>
      <rPr>
        <sz val="12"/>
        <color rgb="FFFF0000"/>
        <rFont val="Aptos Narrow (Corpo)"/>
      </rPr>
      <t xml:space="preserve"> Lidar_8 - FP</t>
    </r>
  </si>
  <si>
    <r>
      <rPr>
        <sz val="12"/>
        <color rgb="FFFF0000"/>
        <rFont val="Aptos Narrow (Corpo)"/>
      </rPr>
      <t>Lidar_4 - FP</t>
    </r>
    <r>
      <rPr>
        <sz val="12"/>
        <color theme="1"/>
        <rFont val="Aptos Narrow"/>
        <family val="2"/>
        <scheme val="minor"/>
      </rPr>
      <t>, Lidar_2</t>
    </r>
  </si>
  <si>
    <r>
      <t xml:space="preserve">Camera_1, </t>
    </r>
    <r>
      <rPr>
        <sz val="12"/>
        <color theme="1"/>
        <rFont val="Aptos Narrow (Corpo)"/>
      </rPr>
      <t>Lidar_6</t>
    </r>
    <r>
      <rPr>
        <sz val="12"/>
        <color theme="1"/>
        <rFont val="Aptos Narrow"/>
        <family val="2"/>
        <scheme val="minor"/>
      </rPr>
      <t>,</t>
    </r>
    <r>
      <rPr>
        <sz val="12"/>
        <color rgb="FFFF0000"/>
        <rFont val="Aptos Narrow (Corpo)"/>
      </rPr>
      <t xml:space="preserve"> Lidar_5 - FP</t>
    </r>
  </si>
  <si>
    <r>
      <rPr>
        <sz val="12"/>
        <color theme="1"/>
        <rFont val="Aptos Narrow (Corpo)"/>
      </rPr>
      <t>Lidar_1</t>
    </r>
    <r>
      <rPr>
        <sz val="12"/>
        <color theme="1"/>
        <rFont val="Aptos Narrow"/>
        <family val="2"/>
        <scheme val="minor"/>
      </rPr>
      <t xml:space="preserve">, Lidar_2, </t>
    </r>
    <r>
      <rPr>
        <sz val="12"/>
        <color rgb="FFFF0000"/>
        <rFont val="Aptos Narrow (Corpo)"/>
      </rPr>
      <t>Camera_2  -FP</t>
    </r>
  </si>
  <si>
    <r>
      <t xml:space="preserve">Lidar_5, Lidar_4, </t>
    </r>
    <r>
      <rPr>
        <sz val="12"/>
        <color rgb="FFFF0000"/>
        <rFont val="Aptos Narrow (Corpo)"/>
      </rPr>
      <t>Lidar_6 -HI</t>
    </r>
  </si>
  <si>
    <r>
      <t xml:space="preserve">Lidar_7, Lidar_2, </t>
    </r>
    <r>
      <rPr>
        <sz val="12"/>
        <color rgb="FFFF0000"/>
        <rFont val="Aptos Narrow (Corpo)"/>
      </rPr>
      <t>Lidar_1</t>
    </r>
    <r>
      <rPr>
        <sz val="12"/>
        <color theme="1"/>
        <rFont val="Aptos Narrow"/>
        <family val="2"/>
        <scheme val="minor"/>
      </rPr>
      <t xml:space="preserve"> </t>
    </r>
    <r>
      <rPr>
        <sz val="12"/>
        <color rgb="FFFF0000"/>
        <rFont val="Aptos Narrow (Corpo)"/>
      </rPr>
      <t>- HI</t>
    </r>
  </si>
  <si>
    <t>MITL TEST - LOGICAL SEQUENCE</t>
  </si>
  <si>
    <t>MITL TEST - FALSE POSITIVE &amp; HIDDEN INTRUDER</t>
  </si>
  <si>
    <t xml:space="preserve">[HALLUCINATION] wrong space information:2
[HALLUCINATION] inefficient robot deployment:2
[HALLUCINATION CORRECTION] inefficient robot deployment:2
[HALLUCINATION] already opened door:2
[ERROR PLAN] non-adjacent area proposed:2
[ERROR PLAN CORRECTION] non-adjacent area proposed:2 </t>
  </si>
  <si>
    <t>[HALLUCINATION] inefficient robot deployment:1 
[HALLUCINATION CORRECTION] inefficient robot deployment:1</t>
  </si>
  <si>
    <t xml:space="preserve">[HALLUCINATION] inefficient robot deployment:1
[HALLUCINATION CORRECTION] inefficient robot deployment:1
[HALLUCINATION] wrong space information:1
</t>
  </si>
  <si>
    <r>
      <t xml:space="preserve">inefficient camera-robot coordination: quando verifica una medesima area sia con il robot che con con la camera
nella formula dell'efficienza bisogna togliere anche gli errori
</t>
    </r>
    <r>
      <rPr>
        <sz val="18"/>
        <color rgb="FFFF0000"/>
        <rFont val="Aptos Narrow (Corpo)"/>
      </rPr>
      <t>nel caso in cui si abbia un'inefficiente deployment dei robot in combinazione con la camera, si considera sempre inefficient robot deployment</t>
    </r>
  </si>
  <si>
    <t>[HALLUCINATION] already open door:1
[ERROR PLAN] wrong action proposed:1
[ERROR PLAN CORRECTION] wrong action proposed:1
[HALLUCINATION] inefficient robot deployment:2
[HALLUCINATION CORRECTION] inefficient robot deployment:2
[HALLUCINATION ] wrong space information:1
[HALLUCINATION  CORRECTION] wrong space information:1</t>
  </si>
  <si>
    <t>[HALLUCINATION] wrong or incomplete space information:1 
[HALLUCINATION] wrong or incomplete space information:1</t>
  </si>
  <si>
    <t>[HALLUCINATION] inefficient robot deployment:2
[HALLUCINATION CORRECTION] inefficient robot deployment:2</t>
  </si>
  <si>
    <t>[HALLUCINATION] wrong action proposed:1
[HALLUCINATION CORRECTION] wrong action proposed:1</t>
  </si>
  <si>
    <t>HALLUCINATION</t>
  </si>
  <si>
    <t>Already open door</t>
  </si>
  <si>
    <t>inefficient robot deployment</t>
  </si>
  <si>
    <t>wrong or incomplete space information</t>
  </si>
  <si>
    <t>ERROR PLAN</t>
  </si>
  <si>
    <t>wrong action proposed</t>
  </si>
  <si>
    <t>unproposed area</t>
  </si>
  <si>
    <t>[HALLUCINATION] already open door:2
[ERROR PLAN] unproposed area:1
[ERROR PLAN CORRECTION] unproposed area:1</t>
  </si>
  <si>
    <t>- si considera il robot più lontano per monitorare un'area
- si manda un robot in un'area già monitorata da camera</t>
  </si>
  <si>
    <t xml:space="preserve">- il sistema riporta informazioni spaziali sbagliate o incomplete (considerazione di una sola porta invece di due, aree vicine ma non effettivamente connesse), </t>
  </si>
  <si>
    <t>- non viene proposto mai durante tutto l'esperimento di monitorare una determinata area</t>
  </si>
  <si>
    <t>wrong area proposed</t>
  </si>
  <si>
    <t>-proposta di eseguire un'azione sbagliata all'interno del plan (visualizzare una camera non legata all'area da monitorare, proporre di aprire la camera sbagliata)</t>
  </si>
  <si>
    <t>- viene proposto di monitorare aree non adiacenti o logicamente errate rispetto alla sequenza di sensori attivati</t>
  </si>
  <si>
    <t xml:space="preserve">[ERROR PLAN] wrong action proposed:2
[ERROR PLAN CORRECTION] wrong action proposed:2
[ERROR PLAN] wrong area proposed:1
[ERROR PLAN CORRECTION] wrong area proposed:1
</t>
  </si>
  <si>
    <t>Inefficient robot deployment</t>
  </si>
  <si>
    <t>wrong area monitored</t>
  </si>
  <si>
    <t>wrong action executed</t>
  </si>
  <si>
    <t>-esecuzione di un'azione sbagliata all'interno del plan (visualizzare una camera non legata all'area da monitorare, proporre di aprire la camera sbagliata)</t>
  </si>
  <si>
    <t>- viene eseguito monitoring aree non adiacenti o logicamente errate rispetto alla sequenza di sensori attivati</t>
  </si>
  <si>
    <t>unmonitored area</t>
  </si>
  <si>
    <t>[ERROR PLAN] wrong action executed:1</t>
  </si>
  <si>
    <t>- si esegue un'azione casuale inutile</t>
  </si>
  <si>
    <t>- quando vengono chiamate azioni per aprire porte già aperte (che hanno senso con la situazione che si sta considerando)</t>
  </si>
  <si>
    <t>[HALLUCINATION] already open door:2</t>
  </si>
  <si>
    <t>[HALLUCINATION] already open door:1</t>
  </si>
  <si>
    <t>[HALLUCINATION] already open door:4</t>
  </si>
  <si>
    <t>[HALLUCINATION] inefficient robot deployment:1
[HALLUCINATION] already open door:2</t>
  </si>
  <si>
    <t>[HALLUCINATION] already open door:3</t>
  </si>
  <si>
    <t>[HALLUCINATION] inefficient robot deployment:1
[HALLUCINATION] already open door:3</t>
  </si>
  <si>
    <t>[HALLUCINATION] already open door: 2</t>
  </si>
  <si>
    <t>[HALLUCINATION] already open door: 3</t>
  </si>
  <si>
    <t>[HALLUCINATION] already open door: 1</t>
  </si>
  <si>
    <t>[HALLUCINATION] already open door:2
[HALLUCINATION] wrong or incomplete space information:1
[HALLUCINATION] inefficient robot deployment:1</t>
  </si>
  <si>
    <t>[HALLUCINATION] already open door:2
[HALLUCINATION] wrong or incomplete space information:2
[HALLUCINATION] inefficient robot deployment:1</t>
  </si>
  <si>
    <t>[HALLUCINATION] inefficient robot deployment:1
[ERROR PLAN] unmonitored area:1
[ERROR PLAN] non-adjacent area monitored:2
[FAIL] fail:it didn't monitor the area with the intruder</t>
  </si>
  <si>
    <t>[HALLUCINATION]  wrong or incomplete space information:2
[HALLUCINATION] already open door:2
[ERROR PLAN] unmonitored area:1
[FAIL] fail:it didn't monitor the area with the intruder</t>
  </si>
  <si>
    <t>[HALLUCINATION] already open door:2
[HALLUCINATION] inefficient robot deployment:1</t>
  </si>
  <si>
    <t>[HALLUCINATION] wrong action executed:1</t>
  </si>
  <si>
    <t xml:space="preserve">[HALLUCINATION] already open door:2
[HALLUCINATION] inefficient robot deployment:1
</t>
  </si>
  <si>
    <t>[HALLUCINATION] already open door:1
[ERROR PLAN] unmonitored area:1
[FAIL] fail:it didn't monitor the area with the intruder</t>
  </si>
  <si>
    <t>[HALLUCINATION] inefficient robot deployment:1
[HALLUCINATION] already open door:4</t>
  </si>
  <si>
    <t xml:space="preserve">[HALLUCINATION] already open door:3
[HALLUCINATION] inefficient robot deployment:1
</t>
  </si>
  <si>
    <t>[HALLUCINATION] inefficient robot deployment:1
[HALLUCINATION] already open door:2
[ERROR PLAN] unmonitored area:2
[FAIL] fail:it didn't monitored the area with the intruder</t>
  </si>
  <si>
    <t>[HALLUCINATION] inefficient robot deployment:1
[HALLUCINATION] already open door:3
[ERROR PLAN] unmonitored area:1
[FAIL] fail:it didn't monitor the area with the intruder</t>
  </si>
  <si>
    <t>[HALLUCINATION] already open door:2
[HALLUCINATION]  wrong or incomplete space information:1
[HALLUCINATION] inefficient robot deployment:1</t>
  </si>
  <si>
    <t>[HALLUCINATION] already open door:2
[ERROR PLAN] wrong area monitored:2
[ERROR PLAN] unmonitored area:1
[FAIL] fail:it didn't monitor the area with the intruder</t>
  </si>
  <si>
    <t>[ERROR PLAN] wrong area monitored:2
[ERROR PLAN] unmonitored area:2</t>
  </si>
  <si>
    <t>[ERROR PLAN] wrong  action executed:1</t>
  </si>
  <si>
    <t>[HALLUCINATION] inefficient robot deployment:1
[HALLUCINATION] already open door:6
[ERROR PLAN] unmonitored area:1
[ERROR PLAN] wrong area monitored:2
[FAIL] fail:it didn't monitor the area with the intruder</t>
  </si>
  <si>
    <t>[HALLUCINATION] already open door:2
[ERROR PLAN] wrong area monitored:1
[ERROR PLAN] unmonitored area:1
[FAIL] fail:it didn't monitor the area with the intruder</t>
  </si>
  <si>
    <t>[HALLUCINATION] inefficient robot deployment:1
[HALLUCINATION] wrong or incomplete space information:1
[ERROR PLAN] wrong area monitored:1
[ERROR PLAN] unmonitored area:1
[FAIL] fail:it didn't monitor the area with the intruder</t>
  </si>
  <si>
    <t>[ERROR PLAN] wrong area monitored:2
[ERROR PLAN] unmonitored area:2</t>
  </si>
  <si>
    <t>[HALLUCINATION] inefficient robot deployment:1
[ERROR PLAN] wrong area monitored:1</t>
  </si>
  <si>
    <t>[ERROR PLAN] wrong area monitored:4
[HALLUCINATION] already open door:2
[FAIL] fail:it didn't monitor the area with the intruder</t>
  </si>
  <si>
    <t xml:space="preserve">[HALLUCINATION] wrong space information:2
[HALLUCINATION] inefficient robot deployment:2
[HALLUCINATION CORRECTION] inefficient robot deployment:2
[HALLUCINATION] already open door:2
[ERROR PLAN] non-adjacent area proposed:2
[ERROR PLAN CORRECTION] non-adjacent area proposed:2 </t>
  </si>
  <si>
    <t>[HALLUCINATION] already open door:1
[ERROR PLAN] wrong action proposed:1
[ERROR PLAN CORRECTION] wrong action proposed:1
[HALLUCINATION] inefficient robot deployment:2
[HALLUCINATION CORRECTION] inefficient robot deployment:2
[HALLUCINATION] wrong space information:1
[HALLUCINATION CORRECTION] wrong space information:1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</si>
</sst>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ptos Narrow"/>
      <family val="2"/>
      <scheme val="minor"/>
    </font>
    <font>
      <b/>
      <sz val="12"/>
      <color theme="1"/>
      <name val="Aptos Narrow"/>
      <scheme val="minor"/>
    </font>
    <font>
      <b/>
      <sz val="16"/>
      <color theme="1"/>
      <name val="Aptos Narrow"/>
      <scheme val="minor"/>
    </font>
    <font>
      <b/>
      <sz val="16"/>
      <color rgb="FF000000"/>
      <name val="Aptos Narrow"/>
      <scheme val="minor"/>
    </font>
    <font>
      <b/>
      <sz val="12"/>
      <color rgb="FF000000"/>
      <name val="Aptos Narrow"/>
      <scheme val="minor"/>
    </font>
    <font>
      <sz val="12"/>
      <color rgb="FF000000"/>
      <name val="Aptos Narrow"/>
      <family val="2"/>
      <scheme val="minor"/>
    </font>
    <font>
      <sz val="12"/>
      <color rgb="FFFF0000"/>
      <name val="Aptos Narrow"/>
      <family val="2"/>
      <scheme val="minor"/>
    </font>
    <font>
      <sz val="48"/>
      <color theme="1"/>
      <name val="Aptos Narrow"/>
      <family val="2"/>
      <scheme val="minor"/>
    </font>
    <font>
      <sz val="12"/>
      <color rgb="FFFF0000"/>
      <name val="Aptos Narrow (Corpo)"/>
    </font>
    <font>
      <b/>
      <sz val="12"/>
      <color rgb="FFFF0000"/>
      <name val="Aptos Narrow"/>
      <scheme val="minor"/>
    </font>
    <font>
      <sz val="12"/>
      <color rgb="FFFF0000"/>
      <name val="Aptos Narrow"/>
      <scheme val="minor"/>
    </font>
    <font>
      <sz val="12"/>
      <color theme="1"/>
      <name val="Aptos Narrow (Corpo)"/>
    </font>
    <font>
      <sz val="18"/>
      <color theme="1"/>
      <name val="Aptos Narrow"/>
      <family val="2"/>
      <scheme val="minor"/>
    </font>
    <font>
      <b/>
      <sz val="18"/>
      <color theme="1"/>
      <name val="Aptos Narrow"/>
      <scheme val="minor"/>
    </font>
    <font>
      <sz val="18"/>
      <color rgb="FFFF0000"/>
      <name val="Aptos Narrow (Corpo)"/>
    </font>
  </fonts>
  <fills count="4">
    <fill>
      <patternFill patternType="none"/>
    </fill>
    <fill>
      <patternFill patternType="gray125"/>
    </fill>
    <fill>
      <patternFill patternType="solid">
        <fgColor theme="0" tint="-0.249977111117893"/>
        <bgColor indexed="64"/>
      </patternFill>
    </fill>
    <fill>
      <patternFill patternType="solid">
        <fgColor rgb="FFBFBFBF"/>
        <bgColor rgb="FF000000"/>
      </patternFill>
    </fill>
  </fills>
  <borders count="7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bottom style="medium">
        <color indexed="64"/>
      </bottom>
      <diagonal/>
    </border>
  </borders>
  <cellStyleXfs count="1">
    <xf numFmtId="0" fontId="0" fillId="0" borderId="0"/>
  </cellStyleXfs>
  <cellXfs count="216">
    <xf numFmtId="0" fontId="0" fillId="0" borderId="0" xfId="0"/>
    <xf numFmtId="0" fontId="0" fillId="0" borderId="0" xfId="0" applyAlignment="1">
      <alignment vertical="center"/>
    </xf>
    <xf numFmtId="0" fontId="4" fillId="3" borderId="3" xfId="0" applyFont="1" applyFill="1" applyBorder="1" applyAlignment="1">
      <alignment horizontal="center" vertical="center"/>
    </xf>
    <xf numFmtId="0" fontId="4" fillId="3" borderId="9" xfId="0" applyFont="1" applyFill="1" applyBorder="1" applyAlignment="1">
      <alignment horizontal="center"/>
    </xf>
    <xf numFmtId="0" fontId="4" fillId="3" borderId="10" xfId="0" applyFont="1" applyFill="1" applyBorder="1" applyAlignment="1">
      <alignment horizontal="center" vertical="center"/>
    </xf>
    <xf numFmtId="0" fontId="1" fillId="2" borderId="9" xfId="0" applyFont="1" applyFill="1" applyBorder="1" applyAlignment="1">
      <alignment horizontal="center"/>
    </xf>
    <xf numFmtId="0" fontId="1" fillId="2" borderId="2" xfId="0" applyFont="1" applyFill="1" applyBorder="1" applyAlignment="1">
      <alignment horizontal="center" vertical="center"/>
    </xf>
    <xf numFmtId="0" fontId="1" fillId="2" borderId="11" xfId="0" applyFont="1" applyFill="1" applyBorder="1" applyAlignment="1">
      <alignment horizontal="center" vertical="center"/>
    </xf>
    <xf numFmtId="0" fontId="1" fillId="0" borderId="0" xfId="0" applyFont="1" applyAlignment="1">
      <alignment horizontal="center" vertical="center" wrapText="1"/>
    </xf>
    <xf numFmtId="0" fontId="2" fillId="2" borderId="15" xfId="0" applyFont="1" applyFill="1" applyBorder="1"/>
    <xf numFmtId="0" fontId="4" fillId="3" borderId="18" xfId="0" applyFont="1" applyFill="1" applyBorder="1" applyAlignment="1">
      <alignment horizontal="center"/>
    </xf>
    <xf numFmtId="0" fontId="4" fillId="3" borderId="19" xfId="0" applyFont="1" applyFill="1" applyBorder="1" applyAlignment="1">
      <alignment horizontal="center" vertical="center"/>
    </xf>
    <xf numFmtId="0" fontId="1" fillId="2" borderId="20" xfId="0" applyFont="1" applyFill="1" applyBorder="1" applyAlignment="1">
      <alignment horizontal="center" vertical="center"/>
    </xf>
    <xf numFmtId="0" fontId="4" fillId="3" borderId="21" xfId="0" applyFont="1" applyFill="1" applyBorder="1" applyAlignment="1">
      <alignment horizontal="center" vertical="center"/>
    </xf>
    <xf numFmtId="0" fontId="1" fillId="2" borderId="25" xfId="0" applyFont="1" applyFill="1" applyBorder="1" applyAlignment="1">
      <alignment horizontal="center" vertical="center"/>
    </xf>
    <xf numFmtId="0" fontId="0" fillId="0" borderId="26" xfId="0" applyBorder="1" applyAlignment="1">
      <alignment vertical="center" wrapText="1"/>
    </xf>
    <xf numFmtId="0" fontId="0" fillId="0" borderId="16" xfId="0" applyBorder="1" applyAlignment="1">
      <alignment vertical="center"/>
    </xf>
    <xf numFmtId="0" fontId="0" fillId="0" borderId="17" xfId="0" applyBorder="1" applyAlignment="1">
      <alignment vertical="center"/>
    </xf>
    <xf numFmtId="0" fontId="4" fillId="3" borderId="25" xfId="0" applyFont="1" applyFill="1" applyBorder="1" applyAlignment="1">
      <alignment horizontal="center" vertical="center"/>
    </xf>
    <xf numFmtId="0" fontId="0" fillId="0" borderId="27" xfId="0" applyBorder="1" applyAlignment="1">
      <alignment vertical="center" wrapText="1"/>
    </xf>
    <xf numFmtId="0" fontId="0" fillId="0" borderId="16" xfId="0" applyBorder="1" applyAlignment="1">
      <alignment wrapText="1"/>
    </xf>
    <xf numFmtId="0" fontId="0" fillId="0" borderId="17" xfId="0" applyBorder="1" applyAlignment="1">
      <alignment wrapText="1"/>
    </xf>
    <xf numFmtId="0" fontId="9" fillId="0" borderId="0" xfId="0" applyFont="1" applyAlignment="1">
      <alignment horizontal="center" vertical="center"/>
    </xf>
    <xf numFmtId="0" fontId="0" fillId="0" borderId="16" xfId="0" applyBorder="1" applyAlignment="1">
      <alignment vertical="center" wrapText="1"/>
    </xf>
    <xf numFmtId="0" fontId="6" fillId="0" borderId="16" xfId="0" applyFont="1" applyBorder="1" applyAlignment="1">
      <alignment vertical="center" wrapText="1"/>
    </xf>
    <xf numFmtId="0" fontId="4" fillId="3" borderId="19" xfId="0" applyFont="1" applyFill="1" applyBorder="1" applyAlignment="1">
      <alignment horizontal="center"/>
    </xf>
    <xf numFmtId="0" fontId="5" fillId="0" borderId="0" xfId="0" applyFont="1"/>
    <xf numFmtId="0" fontId="0" fillId="0" borderId="26" xfId="0" applyBorder="1" applyAlignment="1">
      <alignment vertical="center"/>
    </xf>
    <xf numFmtId="0" fontId="0" fillId="0" borderId="27" xfId="0" applyBorder="1" applyAlignment="1">
      <alignment vertical="center"/>
    </xf>
    <xf numFmtId="0" fontId="1" fillId="2" borderId="25" xfId="0" applyFont="1" applyFill="1" applyBorder="1" applyAlignment="1">
      <alignment vertical="center"/>
    </xf>
    <xf numFmtId="0" fontId="1" fillId="2" borderId="10" xfId="0" applyFont="1" applyFill="1" applyBorder="1" applyAlignment="1">
      <alignment vertical="center"/>
    </xf>
    <xf numFmtId="0" fontId="0" fillId="0" borderId="28" xfId="0" applyBorder="1" applyAlignment="1">
      <alignment vertical="center" wrapText="1"/>
    </xf>
    <xf numFmtId="0" fontId="0" fillId="0" borderId="28" xfId="0" applyBorder="1" applyAlignment="1">
      <alignment vertical="center"/>
    </xf>
    <xf numFmtId="0" fontId="1" fillId="2" borderId="18" xfId="0" applyFont="1" applyFill="1" applyBorder="1" applyAlignment="1">
      <alignment horizontal="center"/>
    </xf>
    <xf numFmtId="0" fontId="1" fillId="2" borderId="32" xfId="0" applyFont="1" applyFill="1" applyBorder="1" applyAlignment="1">
      <alignment horizontal="center" vertical="center"/>
    </xf>
    <xf numFmtId="0" fontId="1" fillId="2" borderId="35" xfId="0" applyFont="1" applyFill="1" applyBorder="1" applyAlignment="1">
      <alignment horizontal="center" vertical="center"/>
    </xf>
    <xf numFmtId="0" fontId="4" fillId="3" borderId="3" xfId="0" applyFont="1" applyFill="1" applyBorder="1" applyAlignment="1">
      <alignment horizontal="center"/>
    </xf>
    <xf numFmtId="0" fontId="1" fillId="2" borderId="15" xfId="0" applyFont="1" applyFill="1" applyBorder="1" applyAlignment="1">
      <alignment vertical="center"/>
    </xf>
    <xf numFmtId="0" fontId="0" fillId="0" borderId="22" xfId="0" applyBorder="1" applyAlignment="1">
      <alignment vertical="center" wrapText="1"/>
    </xf>
    <xf numFmtId="0" fontId="0" fillId="0" borderId="17" xfId="0" applyBorder="1" applyAlignment="1">
      <alignment vertical="center" wrapText="1"/>
    </xf>
    <xf numFmtId="0" fontId="0" fillId="0" borderId="29" xfId="0" applyBorder="1" applyAlignment="1">
      <alignment vertical="center" wrapText="1"/>
    </xf>
    <xf numFmtId="0" fontId="0" fillId="0" borderId="39" xfId="0" applyBorder="1" applyAlignment="1">
      <alignment vertical="center"/>
    </xf>
    <xf numFmtId="0" fontId="0" fillId="0" borderId="43" xfId="0" applyBorder="1" applyAlignment="1">
      <alignment vertical="center" wrapText="1"/>
    </xf>
    <xf numFmtId="0" fontId="0" fillId="0" borderId="39" xfId="0" applyBorder="1" applyAlignment="1">
      <alignment vertical="center" wrapText="1"/>
    </xf>
    <xf numFmtId="0" fontId="0" fillId="0" borderId="46" xfId="0" applyBorder="1" applyAlignment="1">
      <alignment vertical="center" wrapText="1"/>
    </xf>
    <xf numFmtId="0" fontId="0" fillId="0" borderId="4"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0" fontId="0" fillId="0" borderId="34" xfId="0" applyBorder="1" applyAlignment="1">
      <alignment horizontal="center" vertical="center"/>
    </xf>
    <xf numFmtId="0" fontId="0" fillId="0" borderId="38" xfId="0" applyBorder="1" applyAlignment="1">
      <alignment horizontal="center" vertical="center"/>
    </xf>
    <xf numFmtId="0" fontId="0" fillId="0" borderId="0" xfId="0" applyAlignment="1">
      <alignment horizontal="center" vertical="center"/>
    </xf>
    <xf numFmtId="0" fontId="0" fillId="0" borderId="41" xfId="0" applyBorder="1" applyAlignment="1">
      <alignment horizontal="center" vertical="center" wrapText="1"/>
    </xf>
    <xf numFmtId="0" fontId="0" fillId="0" borderId="42" xfId="0" applyBorder="1" applyAlignment="1">
      <alignment horizontal="center" vertical="center" wrapText="1"/>
    </xf>
    <xf numFmtId="0" fontId="0" fillId="0" borderId="44" xfId="0" applyBorder="1" applyAlignment="1">
      <alignment horizontal="center" vertical="center"/>
    </xf>
    <xf numFmtId="0" fontId="0" fillId="0" borderId="45" xfId="0" applyBorder="1" applyAlignment="1">
      <alignment horizontal="center" vertical="center"/>
    </xf>
    <xf numFmtId="0" fontId="6" fillId="0" borderId="0" xfId="0" applyFont="1" applyAlignment="1">
      <alignment vertical="center" wrapText="1"/>
    </xf>
    <xf numFmtId="0" fontId="0" fillId="0" borderId="45" xfId="0" applyBorder="1" applyAlignment="1">
      <alignment horizontal="center" vertical="center" wrapText="1"/>
    </xf>
    <xf numFmtId="0" fontId="1" fillId="2" borderId="3" xfId="0" applyFont="1" applyFill="1" applyBorder="1" applyAlignment="1">
      <alignment horizontal="center"/>
    </xf>
    <xf numFmtId="0" fontId="0" fillId="0" borderId="34" xfId="0" applyBorder="1" applyAlignment="1">
      <alignment horizontal="center" vertical="center" wrapText="1"/>
    </xf>
    <xf numFmtId="0" fontId="0" fillId="0" borderId="38" xfId="0" applyBorder="1" applyAlignment="1">
      <alignment horizontal="center" vertical="center" wrapText="1"/>
    </xf>
    <xf numFmtId="0" fontId="5" fillId="0" borderId="4" xfId="0" applyFont="1" applyBorder="1" applyAlignment="1">
      <alignment horizontal="center" vertical="center"/>
    </xf>
    <xf numFmtId="0" fontId="5" fillId="0" borderId="34" xfId="0" applyFont="1" applyBorder="1" applyAlignment="1">
      <alignment horizontal="center" vertical="center"/>
    </xf>
    <xf numFmtId="0" fontId="5" fillId="0" borderId="28" xfId="0" applyFont="1" applyBorder="1" applyAlignment="1">
      <alignment horizontal="center" vertical="center"/>
    </xf>
    <xf numFmtId="0" fontId="5" fillId="0" borderId="26" xfId="0" applyFont="1" applyBorder="1" applyAlignment="1">
      <alignment vertical="center" wrapText="1"/>
    </xf>
    <xf numFmtId="2" fontId="0" fillId="0" borderId="4" xfId="0" applyNumberFormat="1" applyBorder="1" applyAlignment="1">
      <alignment horizontal="center" vertical="center"/>
    </xf>
    <xf numFmtId="2" fontId="5" fillId="0" borderId="9" xfId="0" applyNumberFormat="1" applyFont="1" applyBorder="1" applyAlignment="1">
      <alignment horizontal="center" vertical="center"/>
    </xf>
    <xf numFmtId="2" fontId="5" fillId="0" borderId="22" xfId="0" applyNumberFormat="1" applyFont="1" applyBorder="1" applyAlignment="1">
      <alignment horizontal="center" vertical="center"/>
    </xf>
    <xf numFmtId="2" fontId="5" fillId="0" borderId="23" xfId="0" applyNumberFormat="1" applyFont="1" applyBorder="1" applyAlignment="1">
      <alignment horizontal="center" vertical="center"/>
    </xf>
    <xf numFmtId="2" fontId="5" fillId="0" borderId="24" xfId="0" applyNumberFormat="1" applyFont="1" applyBorder="1" applyAlignment="1">
      <alignment horizontal="center" vertical="center"/>
    </xf>
    <xf numFmtId="2" fontId="0" fillId="0" borderId="16" xfId="0" applyNumberFormat="1" applyBorder="1" applyAlignment="1">
      <alignment horizontal="center" vertical="center"/>
    </xf>
    <xf numFmtId="2" fontId="0" fillId="0" borderId="6" xfId="0" applyNumberFormat="1" applyBorder="1" applyAlignment="1">
      <alignment horizontal="center" vertical="center"/>
    </xf>
    <xf numFmtId="2" fontId="0" fillId="0" borderId="17" xfId="0" applyNumberFormat="1" applyBorder="1" applyAlignment="1">
      <alignment horizontal="center" vertical="center"/>
    </xf>
    <xf numFmtId="0" fontId="0" fillId="0" borderId="9" xfId="0" applyBorder="1" applyAlignment="1">
      <alignment horizontal="center" vertical="center" wrapText="1"/>
    </xf>
    <xf numFmtId="0" fontId="0" fillId="0" borderId="11" xfId="0" applyBorder="1" applyAlignment="1">
      <alignment horizontal="center" vertical="center"/>
    </xf>
    <xf numFmtId="0" fontId="0" fillId="0" borderId="25" xfId="0" applyBorder="1" applyAlignment="1">
      <alignment vertical="center" wrapText="1"/>
    </xf>
    <xf numFmtId="0" fontId="0" fillId="0" borderId="10" xfId="0" applyBorder="1" applyAlignment="1">
      <alignment vertical="center" wrapText="1"/>
    </xf>
    <xf numFmtId="2" fontId="0" fillId="0" borderId="9" xfId="0" applyNumberFormat="1" applyBorder="1" applyAlignment="1">
      <alignment horizontal="center" vertical="center"/>
    </xf>
    <xf numFmtId="2" fontId="0" fillId="0" borderId="22" xfId="0" applyNumberFormat="1" applyBorder="1" applyAlignment="1">
      <alignment horizontal="center" vertical="center"/>
    </xf>
    <xf numFmtId="0" fontId="2" fillId="2" borderId="47" xfId="0" applyFont="1" applyFill="1" applyBorder="1"/>
    <xf numFmtId="0" fontId="1" fillId="2" borderId="53" xfId="0" applyFont="1" applyFill="1" applyBorder="1" applyAlignment="1">
      <alignment horizontal="center"/>
    </xf>
    <xf numFmtId="0" fontId="1" fillId="2" borderId="54" xfId="0" applyFont="1" applyFill="1" applyBorder="1" applyAlignment="1">
      <alignment horizontal="center" vertical="center"/>
    </xf>
    <xf numFmtId="0" fontId="1" fillId="2" borderId="55"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14" xfId="0" applyFont="1" applyFill="1" applyBorder="1" applyAlignment="1">
      <alignment vertical="center"/>
    </xf>
    <xf numFmtId="0" fontId="4" fillId="3" borderId="53" xfId="0" applyFont="1" applyFill="1" applyBorder="1" applyAlignment="1">
      <alignment horizontal="center"/>
    </xf>
    <xf numFmtId="0" fontId="4" fillId="3" borderId="56" xfId="0" applyFont="1" applyFill="1" applyBorder="1" applyAlignment="1">
      <alignment horizontal="center" vertical="center"/>
    </xf>
    <xf numFmtId="0" fontId="4" fillId="3" borderId="14"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56" xfId="0" applyFont="1" applyFill="1" applyBorder="1" applyAlignment="1">
      <alignment horizontal="center"/>
    </xf>
    <xf numFmtId="0" fontId="6" fillId="0" borderId="22" xfId="0" applyFont="1" applyBorder="1" applyAlignment="1">
      <alignment vertical="center" wrapText="1"/>
    </xf>
    <xf numFmtId="0" fontId="0" fillId="0" borderId="25" xfId="0" applyBorder="1" applyAlignment="1">
      <alignment vertical="center"/>
    </xf>
    <xf numFmtId="0" fontId="1" fillId="2" borderId="13" xfId="0" applyFont="1" applyFill="1" applyBorder="1" applyAlignment="1">
      <alignment vertical="center"/>
    </xf>
    <xf numFmtId="2" fontId="5" fillId="0" borderId="9" xfId="0" applyNumberFormat="1" applyFont="1" applyBorder="1" applyAlignment="1">
      <alignment vertical="center"/>
    </xf>
    <xf numFmtId="2" fontId="5" fillId="0" borderId="22" xfId="0" applyNumberFormat="1" applyFont="1" applyBorder="1" applyAlignment="1">
      <alignment vertical="center"/>
    </xf>
    <xf numFmtId="2" fontId="0" fillId="0" borderId="4" xfId="0" applyNumberFormat="1" applyBorder="1" applyAlignment="1">
      <alignment vertical="center"/>
    </xf>
    <xf numFmtId="2" fontId="0" fillId="0" borderId="16" xfId="0" applyNumberFormat="1" applyBorder="1" applyAlignment="1">
      <alignment vertical="center"/>
    </xf>
    <xf numFmtId="2" fontId="0" fillId="0" borderId="6" xfId="0" applyNumberFormat="1" applyBorder="1" applyAlignment="1">
      <alignment vertical="center"/>
    </xf>
    <xf numFmtId="2" fontId="0" fillId="0" borderId="17" xfId="0" applyNumberFormat="1" applyBorder="1" applyAlignment="1">
      <alignment vertical="center"/>
    </xf>
    <xf numFmtId="2" fontId="5" fillId="0" borderId="23" xfId="0" applyNumberFormat="1" applyFont="1" applyBorder="1" applyAlignment="1">
      <alignment vertical="center"/>
    </xf>
    <xf numFmtId="2" fontId="5" fillId="0" borderId="24" xfId="0" applyNumberFormat="1" applyFont="1" applyBorder="1" applyAlignment="1">
      <alignment vertical="center"/>
    </xf>
    <xf numFmtId="0" fontId="1" fillId="2" borderId="19" xfId="0" applyFont="1" applyFill="1" applyBorder="1" applyAlignment="1">
      <alignment horizontal="center"/>
    </xf>
    <xf numFmtId="0" fontId="1" fillId="2" borderId="15" xfId="0" applyFont="1" applyFill="1" applyBorder="1" applyAlignment="1">
      <alignment horizontal="center" vertical="center"/>
    </xf>
    <xf numFmtId="0" fontId="0" fillId="0" borderId="33" xfId="0" applyBorder="1" applyAlignment="1">
      <alignment horizontal="center" vertical="center" wrapText="1"/>
    </xf>
    <xf numFmtId="0" fontId="0" fillId="0" borderId="37" xfId="0" applyBorder="1" applyAlignment="1">
      <alignment horizontal="center" vertical="center" wrapText="1"/>
    </xf>
    <xf numFmtId="0" fontId="1" fillId="2" borderId="57" xfId="0" applyFont="1" applyFill="1" applyBorder="1" applyAlignment="1">
      <alignment horizontal="center" vertical="center"/>
    </xf>
    <xf numFmtId="0" fontId="0" fillId="0" borderId="44" xfId="0" applyBorder="1" applyAlignment="1">
      <alignment horizontal="center" vertical="center" wrapText="1"/>
    </xf>
    <xf numFmtId="0" fontId="4" fillId="3" borderId="54" xfId="0" applyFont="1" applyFill="1" applyBorder="1" applyAlignment="1">
      <alignment horizontal="center" vertical="center"/>
    </xf>
    <xf numFmtId="0" fontId="5" fillId="0" borderId="43" xfId="0" applyFont="1" applyBorder="1" applyAlignment="1">
      <alignment vertical="center" wrapText="1"/>
    </xf>
    <xf numFmtId="0" fontId="0" fillId="0" borderId="18" xfId="0" applyBorder="1" applyAlignment="1">
      <alignment horizontal="center" vertical="center" wrapText="1"/>
    </xf>
    <xf numFmtId="0" fontId="0" fillId="0" borderId="20" xfId="0" applyBorder="1" applyAlignment="1">
      <alignment horizontal="center" vertical="center"/>
    </xf>
    <xf numFmtId="0" fontId="0" fillId="0" borderId="32" xfId="0" applyBorder="1" applyAlignment="1">
      <alignment horizontal="center" vertical="center"/>
    </xf>
    <xf numFmtId="0" fontId="0" fillId="0" borderId="18" xfId="0" applyBorder="1" applyAlignment="1">
      <alignment horizontal="center" vertical="center"/>
    </xf>
    <xf numFmtId="0" fontId="0" fillId="0" borderId="58" xfId="0" applyBorder="1" applyAlignment="1">
      <alignment vertical="center"/>
    </xf>
    <xf numFmtId="0" fontId="0" fillId="0" borderId="59" xfId="0" applyBorder="1" applyAlignment="1">
      <alignment vertical="center"/>
    </xf>
    <xf numFmtId="0" fontId="0" fillId="0" borderId="2" xfId="0" applyBorder="1" applyAlignment="1">
      <alignment horizontal="center" vertical="center" wrapText="1"/>
    </xf>
    <xf numFmtId="0" fontId="0" fillId="0" borderId="36" xfId="0" applyBorder="1" applyAlignment="1">
      <alignment horizontal="center" vertical="center" wrapText="1"/>
    </xf>
    <xf numFmtId="0" fontId="0" fillId="0" borderId="35" xfId="0" applyBorder="1" applyAlignment="1">
      <alignment horizontal="center" vertical="center"/>
    </xf>
    <xf numFmtId="0" fontId="0" fillId="0" borderId="19" xfId="0" applyBorder="1" applyAlignment="1">
      <alignment horizontal="center" vertical="center"/>
    </xf>
    <xf numFmtId="0" fontId="5" fillId="0" borderId="15" xfId="0" applyFont="1" applyBorder="1" applyAlignment="1">
      <alignment vertical="center" wrapText="1"/>
    </xf>
    <xf numFmtId="0" fontId="5" fillId="0" borderId="16" xfId="0" applyFont="1" applyBorder="1" applyAlignment="1">
      <alignment vertical="center" wrapText="1"/>
    </xf>
    <xf numFmtId="0" fontId="5" fillId="0" borderId="17" xfId="0" applyFont="1" applyBorder="1" applyAlignment="1">
      <alignment vertical="center" wrapText="1"/>
    </xf>
    <xf numFmtId="0" fontId="0" fillId="0" borderId="15" xfId="0" applyBorder="1" applyAlignment="1">
      <alignment vertical="center" wrapText="1"/>
    </xf>
    <xf numFmtId="0" fontId="5" fillId="0" borderId="39" xfId="0" applyFont="1" applyBorder="1" applyAlignment="1">
      <alignment vertical="center" wrapText="1"/>
    </xf>
    <xf numFmtId="0" fontId="0" fillId="0" borderId="60" xfId="0" applyBorder="1" applyAlignment="1">
      <alignment horizontal="center" vertical="center"/>
    </xf>
    <xf numFmtId="0" fontId="1" fillId="2" borderId="61" xfId="0" applyFont="1" applyFill="1" applyBorder="1" applyAlignment="1">
      <alignment horizontal="center" vertical="center"/>
    </xf>
    <xf numFmtId="0" fontId="0" fillId="0" borderId="23" xfId="0" applyBorder="1" applyAlignment="1">
      <alignment horizontal="center" vertical="center"/>
    </xf>
    <xf numFmtId="0" fontId="0" fillId="0" borderId="62" xfId="0" applyBorder="1" applyAlignment="1">
      <alignment horizontal="center" vertical="center"/>
    </xf>
    <xf numFmtId="0" fontId="0" fillId="0" borderId="63" xfId="0" applyBorder="1" applyAlignment="1">
      <alignment horizontal="center" vertical="center"/>
    </xf>
    <xf numFmtId="0" fontId="0" fillId="0" borderId="64" xfId="0" applyBorder="1" applyAlignment="1">
      <alignment horizontal="center" vertical="center"/>
    </xf>
    <xf numFmtId="0" fontId="0" fillId="0" borderId="3" xfId="0" applyBorder="1" applyAlignment="1">
      <alignment horizontal="center" vertical="center"/>
    </xf>
    <xf numFmtId="0" fontId="0" fillId="0" borderId="65" xfId="0" applyBorder="1" applyAlignment="1">
      <alignment horizontal="center" vertical="center"/>
    </xf>
    <xf numFmtId="0" fontId="0" fillId="0" borderId="24" xfId="0" applyBorder="1" applyAlignment="1">
      <alignment vertical="center" wrapText="1"/>
    </xf>
    <xf numFmtId="0" fontId="0" fillId="0" borderId="22" xfId="0" applyBorder="1" applyAlignment="1">
      <alignment vertical="center"/>
    </xf>
    <xf numFmtId="0" fontId="0" fillId="0" borderId="11" xfId="0" applyBorder="1" applyAlignment="1">
      <alignment horizontal="center" vertical="center" wrapText="1"/>
    </xf>
    <xf numFmtId="0" fontId="5" fillId="0" borderId="22" xfId="0" applyFont="1" applyBorder="1" applyAlignment="1">
      <alignment vertical="center" wrapText="1"/>
    </xf>
    <xf numFmtId="0" fontId="2" fillId="2" borderId="47" xfId="0" applyFont="1" applyFill="1" applyBorder="1" applyAlignment="1">
      <alignment vertical="center"/>
    </xf>
    <xf numFmtId="0" fontId="4" fillId="3" borderId="57" xfId="0" applyFont="1" applyFill="1" applyBorder="1" applyAlignment="1">
      <alignment horizontal="center" vertical="center"/>
    </xf>
    <xf numFmtId="0" fontId="4" fillId="3" borderId="47" xfId="0" applyFont="1" applyFill="1" applyBorder="1" applyAlignment="1">
      <alignment horizontal="center" vertical="center"/>
    </xf>
    <xf numFmtId="0" fontId="1" fillId="2" borderId="66" xfId="0" applyFont="1" applyFill="1" applyBorder="1" applyAlignment="1">
      <alignment horizontal="center"/>
    </xf>
    <xf numFmtId="0" fontId="1" fillId="2" borderId="67" xfId="0" applyFont="1" applyFill="1" applyBorder="1" applyAlignment="1">
      <alignment horizontal="center" vertical="center"/>
    </xf>
    <xf numFmtId="0" fontId="1" fillId="2" borderId="68" xfId="0" applyFont="1" applyFill="1" applyBorder="1" applyAlignment="1">
      <alignment horizontal="center" vertical="center"/>
    </xf>
    <xf numFmtId="0" fontId="1" fillId="2" borderId="69" xfId="0" applyFont="1" applyFill="1" applyBorder="1" applyAlignment="1">
      <alignment horizontal="center" vertical="center"/>
    </xf>
    <xf numFmtId="0" fontId="1" fillId="2" borderId="70" xfId="0" applyFont="1" applyFill="1" applyBorder="1" applyAlignment="1">
      <alignment horizontal="center" vertical="center"/>
    </xf>
    <xf numFmtId="0" fontId="0" fillId="0" borderId="21" xfId="0" applyBorder="1" applyAlignment="1">
      <alignment vertical="center" wrapText="1"/>
    </xf>
    <xf numFmtId="0" fontId="0" fillId="0" borderId="3" xfId="0" applyBorder="1" applyAlignment="1">
      <alignment horizontal="center" vertical="center" wrapText="1"/>
    </xf>
    <xf numFmtId="0" fontId="0" fillId="0" borderId="28" xfId="0" applyBorder="1" applyAlignment="1">
      <alignment horizontal="center" vertical="center"/>
    </xf>
    <xf numFmtId="0" fontId="5" fillId="0" borderId="1" xfId="0" applyFont="1" applyBorder="1" applyAlignment="1">
      <alignment horizontal="center" vertical="center"/>
    </xf>
    <xf numFmtId="0" fontId="1" fillId="2" borderId="31" xfId="0" applyFont="1" applyFill="1" applyBorder="1" applyAlignment="1">
      <alignment horizontal="center" vertical="center"/>
    </xf>
    <xf numFmtId="0" fontId="6" fillId="0" borderId="39" xfId="0" applyFont="1" applyBorder="1" applyAlignment="1">
      <alignment vertical="center" wrapText="1"/>
    </xf>
    <xf numFmtId="0" fontId="0" fillId="0" borderId="16" xfId="0" applyBorder="1" applyAlignment="1">
      <alignment horizontal="left" vertical="center" wrapText="1"/>
    </xf>
    <xf numFmtId="0" fontId="0" fillId="0" borderId="45" xfId="0" applyBorder="1" applyAlignment="1">
      <alignment horizontal="left" vertical="center" wrapText="1"/>
    </xf>
    <xf numFmtId="0" fontId="0" fillId="0" borderId="41" xfId="0" applyBorder="1" applyAlignment="1">
      <alignment horizontal="left" vertical="center" wrapText="1"/>
    </xf>
    <xf numFmtId="0" fontId="0" fillId="0" borderId="44" xfId="0" applyBorder="1" applyAlignment="1">
      <alignment horizontal="left" vertical="center" wrapText="1"/>
    </xf>
    <xf numFmtId="0" fontId="0" fillId="0" borderId="42" xfId="0" applyBorder="1" applyAlignment="1">
      <alignment horizontal="left" vertical="center" wrapText="1"/>
    </xf>
    <xf numFmtId="0" fontId="0" fillId="0" borderId="39" xfId="0" applyBorder="1" applyAlignment="1">
      <alignment horizontal="left" vertical="center" wrapText="1"/>
    </xf>
    <xf numFmtId="0" fontId="0" fillId="0" borderId="45" xfId="0" applyBorder="1" applyAlignment="1">
      <alignment horizontal="left" vertical="center"/>
    </xf>
    <xf numFmtId="0" fontId="0" fillId="0" borderId="41" xfId="0" applyBorder="1" applyAlignment="1">
      <alignment horizontal="left" vertical="center"/>
    </xf>
    <xf numFmtId="0" fontId="0" fillId="0" borderId="44" xfId="0" applyBorder="1" applyAlignment="1">
      <alignment horizontal="left" vertical="center"/>
    </xf>
    <xf numFmtId="0" fontId="0" fillId="0" borderId="0" xfId="0" applyAlignment="1">
      <alignment horizontal="left" vertical="center"/>
    </xf>
    <xf numFmtId="0" fontId="1" fillId="2" borderId="36" xfId="0" applyFont="1" applyFill="1" applyBorder="1" applyAlignment="1">
      <alignment horizontal="center" vertical="center"/>
    </xf>
    <xf numFmtId="0" fontId="5" fillId="0" borderId="26" xfId="0" applyFont="1" applyBorder="1" applyAlignment="1">
      <alignment horizontal="center" vertical="center"/>
    </xf>
    <xf numFmtId="0" fontId="11" fillId="0" borderId="26" xfId="0" applyFont="1" applyBorder="1" applyAlignment="1">
      <alignment vertical="center" wrapText="1"/>
    </xf>
    <xf numFmtId="0" fontId="0" fillId="0" borderId="0" xfId="0" applyAlignment="1">
      <alignment vertical="center" wrapText="1"/>
    </xf>
    <xf numFmtId="0" fontId="1" fillId="0" borderId="0" xfId="0" applyFont="1"/>
    <xf numFmtId="49" fontId="0" fillId="0" borderId="0" xfId="0" applyNumberFormat="1"/>
    <xf numFmtId="0" fontId="0" fillId="0" borderId="71" xfId="0" applyBorder="1" applyAlignment="1">
      <alignment horizontal="center" vertical="center"/>
    </xf>
    <xf numFmtId="0" fontId="11" fillId="0" borderId="16" xfId="0" applyFont="1" applyBorder="1" applyAlignment="1">
      <alignment vertical="center" wrapText="1"/>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30" xfId="0" applyFont="1" applyFill="1" applyBorder="1" applyAlignment="1">
      <alignment horizontal="center" vertical="center"/>
    </xf>
    <xf numFmtId="0" fontId="3" fillId="3" borderId="31" xfId="0" applyFont="1" applyFill="1" applyBorder="1" applyAlignment="1">
      <alignment horizontal="center" vertical="center"/>
    </xf>
    <xf numFmtId="0" fontId="3" fillId="3" borderId="48" xfId="0" applyFont="1" applyFill="1" applyBorder="1" applyAlignment="1">
      <alignment horizontal="center" vertical="center"/>
    </xf>
    <xf numFmtId="0" fontId="0" fillId="0" borderId="0" xfId="0" applyAlignment="1">
      <alignment horizontal="center" vertical="center" wrapText="1"/>
    </xf>
    <xf numFmtId="0" fontId="10" fillId="0" borderId="0" xfId="0" applyFont="1" applyAlignment="1">
      <alignment horizontal="center" vertical="center" wrapText="1"/>
    </xf>
    <xf numFmtId="0" fontId="7" fillId="0" borderId="0" xfId="0" applyFont="1" applyAlignment="1">
      <alignment horizontal="center" vertical="center"/>
    </xf>
    <xf numFmtId="0" fontId="2" fillId="2" borderId="30" xfId="0" applyFont="1" applyFill="1" applyBorder="1" applyAlignment="1">
      <alignment horizontal="center" vertical="center"/>
    </xf>
    <xf numFmtId="0" fontId="2" fillId="2" borderId="31" xfId="0" applyFont="1" applyFill="1" applyBorder="1" applyAlignment="1">
      <alignment horizontal="center" vertical="center"/>
    </xf>
    <xf numFmtId="0" fontId="13" fillId="0" borderId="30" xfId="0" applyFont="1" applyBorder="1" applyAlignment="1">
      <alignment horizontal="center" vertical="center"/>
    </xf>
    <xf numFmtId="0" fontId="13" fillId="0" borderId="31" xfId="0" applyFont="1" applyBorder="1" applyAlignment="1">
      <alignment horizontal="center" vertical="center"/>
    </xf>
    <xf numFmtId="0" fontId="13" fillId="0" borderId="48" xfId="0" applyFont="1" applyBorder="1" applyAlignment="1">
      <alignment horizontal="center" vertical="center"/>
    </xf>
    <xf numFmtId="0" fontId="13" fillId="0" borderId="51" xfId="0" applyFont="1" applyBorder="1" applyAlignment="1">
      <alignment horizontal="center" vertical="center"/>
    </xf>
    <xf numFmtId="0" fontId="13" fillId="0" borderId="0" xfId="0" applyFont="1" applyAlignment="1">
      <alignment horizontal="center" vertical="center"/>
    </xf>
    <xf numFmtId="0" fontId="13" fillId="0" borderId="52" xfId="0" applyFont="1" applyBorder="1" applyAlignment="1">
      <alignment horizontal="center" vertical="center"/>
    </xf>
    <xf numFmtId="0" fontId="12" fillId="0" borderId="30" xfId="0" applyFont="1" applyBorder="1" applyAlignment="1">
      <alignment horizontal="left" vertical="center" wrapText="1"/>
    </xf>
    <xf numFmtId="0" fontId="12" fillId="0" borderId="31" xfId="0" applyFont="1" applyBorder="1" applyAlignment="1">
      <alignment horizontal="left" vertical="center" wrapText="1"/>
    </xf>
    <xf numFmtId="0" fontId="12" fillId="0" borderId="48" xfId="0" applyFont="1" applyBorder="1" applyAlignment="1">
      <alignment horizontal="left" vertical="center" wrapText="1"/>
    </xf>
    <xf numFmtId="0" fontId="12" fillId="0" borderId="51" xfId="0" applyFont="1" applyBorder="1" applyAlignment="1">
      <alignment horizontal="left" vertical="center" wrapText="1"/>
    </xf>
    <xf numFmtId="0" fontId="12" fillId="0" borderId="0" xfId="0" applyFont="1" applyAlignment="1">
      <alignment horizontal="left" vertical="center" wrapText="1"/>
    </xf>
    <xf numFmtId="0" fontId="12" fillId="0" borderId="52" xfId="0" applyFont="1" applyBorder="1" applyAlignment="1">
      <alignment horizontal="left" vertical="center" wrapText="1"/>
    </xf>
    <xf numFmtId="0" fontId="12" fillId="0" borderId="49" xfId="0" applyFont="1" applyBorder="1" applyAlignment="1">
      <alignment horizontal="left" vertical="center" wrapText="1"/>
    </xf>
    <xf numFmtId="0" fontId="12" fillId="0" borderId="50" xfId="0" applyFont="1" applyBorder="1" applyAlignment="1">
      <alignment horizontal="left" vertical="center" wrapText="1"/>
    </xf>
    <xf numFmtId="0" fontId="12" fillId="0" borderId="29" xfId="0" applyFont="1" applyBorder="1" applyAlignment="1">
      <alignment horizontal="left" vertical="center" wrapText="1"/>
    </xf>
    <xf numFmtId="49" fontId="0" fillId="0" borderId="0" xfId="0" applyNumberFormat="1" applyAlignment="1">
      <alignment horizontal="left" vertical="center" wrapText="1"/>
    </xf>
    <xf numFmtId="49" fontId="0" fillId="0" borderId="0" xfId="0" applyNumberFormat="1" applyAlignment="1">
      <alignment horizontal="left" vertical="center"/>
    </xf>
    <xf numFmtId="0" fontId="0" fillId="0" borderId="0" xfId="0" applyAlignment="1">
      <alignment horizont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8D713-AB11-FB49-92F3-02156E9039EC}">
  <dimension ref="A1:V15"/>
  <sheetViews>
    <sheetView topLeftCell="E6" zoomScale="170" workbookViewId="0">
      <selection activeCell="O33" sqref="O33"/>
    </sheetView>
  </sheetViews>
  <sheetFormatPr baseColWidth="10" defaultRowHeight="16" x14ac:dyDescent="0.2"/>
  <cols>
    <col min="1" max="1" width="26.83203125" customWidth="1"/>
    <col min="2" max="2" width="9.83203125" customWidth="1"/>
    <col min="3" max="3" width="10.33203125" customWidth="1"/>
    <col min="4" max="4" width="10.6640625" customWidth="1"/>
    <col min="5" max="6" width="10.33203125" customWidth="1"/>
    <col min="7" max="7" width="11.33203125" customWidth="1"/>
    <col min="8" max="8" width="48" customWidth="1"/>
    <col min="15" max="15" width="48.33203125" style="1" customWidth="1"/>
    <col min="22" max="22" width="43.83203125" style="1" customWidth="1"/>
  </cols>
  <sheetData>
    <row r="1" spans="1:22" ht="17" thickBot="1" x14ac:dyDescent="0.25"/>
    <row r="2" spans="1:22" ht="23" thickBot="1" x14ac:dyDescent="0.25">
      <c r="B2" s="184" t="s">
        <v>14</v>
      </c>
      <c r="C2" s="185"/>
      <c r="D2" s="185"/>
      <c r="E2" s="185"/>
      <c r="F2" s="185"/>
      <c r="G2" s="185"/>
      <c r="H2" s="186"/>
      <c r="I2" s="184" t="s">
        <v>15</v>
      </c>
      <c r="J2" s="185"/>
      <c r="K2" s="185"/>
      <c r="L2" s="185"/>
      <c r="M2" s="185"/>
      <c r="N2" s="185"/>
      <c r="O2" s="186"/>
      <c r="P2" s="187" t="s">
        <v>16</v>
      </c>
      <c r="Q2" s="188"/>
      <c r="R2" s="188"/>
      <c r="S2" s="188"/>
      <c r="T2" s="188"/>
      <c r="U2" s="188"/>
      <c r="V2" s="189"/>
    </row>
    <row r="3" spans="1:22" ht="23" thickBot="1" x14ac:dyDescent="0.35">
      <c r="A3" s="95" t="s">
        <v>5</v>
      </c>
      <c r="B3" s="155" t="s">
        <v>7</v>
      </c>
      <c r="C3" s="156" t="s">
        <v>21</v>
      </c>
      <c r="D3" s="156" t="s">
        <v>9</v>
      </c>
      <c r="E3" s="156" t="s">
        <v>10</v>
      </c>
      <c r="F3" s="157" t="s">
        <v>100</v>
      </c>
      <c r="G3" s="158" t="s">
        <v>101</v>
      </c>
      <c r="H3" s="159" t="s">
        <v>22</v>
      </c>
      <c r="I3" s="155" t="s">
        <v>7</v>
      </c>
      <c r="J3" s="156" t="s">
        <v>21</v>
      </c>
      <c r="K3" s="156" t="s">
        <v>9</v>
      </c>
      <c r="L3" s="156" t="s">
        <v>10</v>
      </c>
      <c r="M3" s="157" t="s">
        <v>100</v>
      </c>
      <c r="N3" s="141" t="s">
        <v>101</v>
      </c>
      <c r="O3" s="164" t="s">
        <v>22</v>
      </c>
      <c r="P3" s="101" t="s">
        <v>7</v>
      </c>
      <c r="Q3" s="102" t="s">
        <v>21</v>
      </c>
      <c r="R3" s="102" t="s">
        <v>9</v>
      </c>
      <c r="S3" s="102" t="s">
        <v>10</v>
      </c>
      <c r="T3" s="104" t="s">
        <v>100</v>
      </c>
      <c r="U3" s="98" t="s">
        <v>101</v>
      </c>
      <c r="V3" s="103" t="s">
        <v>22</v>
      </c>
    </row>
    <row r="4" spans="1:22" ht="17" x14ac:dyDescent="0.2">
      <c r="A4" s="106" t="s">
        <v>79</v>
      </c>
      <c r="B4" s="61"/>
      <c r="C4" s="62"/>
      <c r="D4" s="62"/>
      <c r="E4" s="62"/>
      <c r="F4" s="63"/>
      <c r="G4" s="90"/>
      <c r="H4" s="91"/>
      <c r="I4" s="128"/>
      <c r="J4" s="126"/>
      <c r="K4" s="126"/>
      <c r="L4" s="126"/>
      <c r="M4" s="133"/>
      <c r="N4" s="127"/>
      <c r="O4" s="160"/>
      <c r="P4" s="61"/>
      <c r="Q4" s="62"/>
      <c r="R4" s="62"/>
      <c r="S4" s="62"/>
      <c r="T4" s="63"/>
      <c r="U4" s="90"/>
      <c r="V4" s="149"/>
    </row>
    <row r="5" spans="1:22" ht="17" x14ac:dyDescent="0.2">
      <c r="A5" s="24" t="s">
        <v>106</v>
      </c>
      <c r="B5" s="45">
        <v>0</v>
      </c>
      <c r="C5" s="46">
        <v>5</v>
      </c>
      <c r="D5" s="67">
        <v>0</v>
      </c>
      <c r="E5" s="46">
        <v>1</v>
      </c>
      <c r="F5" s="60">
        <v>0</v>
      </c>
      <c r="G5" s="49">
        <v>0</v>
      </c>
      <c r="H5" s="15"/>
      <c r="I5" s="45"/>
      <c r="J5" s="46"/>
      <c r="K5" s="46"/>
      <c r="L5" s="46"/>
      <c r="M5" s="60"/>
      <c r="N5" s="49"/>
      <c r="O5" s="31"/>
      <c r="P5" s="45"/>
      <c r="Q5" s="46"/>
      <c r="R5" s="46"/>
      <c r="S5" s="46"/>
      <c r="T5" s="46"/>
      <c r="U5" s="162"/>
      <c r="V5" s="16"/>
    </row>
    <row r="6" spans="1:22" ht="136" x14ac:dyDescent="0.2">
      <c r="A6" s="72" t="s">
        <v>107</v>
      </c>
      <c r="B6" s="45">
        <v>3</v>
      </c>
      <c r="C6" s="46">
        <v>3</v>
      </c>
      <c r="D6" s="46">
        <v>0</v>
      </c>
      <c r="E6" s="46">
        <v>1</v>
      </c>
      <c r="F6" s="60">
        <v>0</v>
      </c>
      <c r="G6" s="49">
        <v>0</v>
      </c>
      <c r="H6" s="15" t="s">
        <v>141</v>
      </c>
      <c r="I6" s="45"/>
      <c r="J6" s="46"/>
      <c r="K6" s="46"/>
      <c r="L6" s="46"/>
      <c r="M6" s="60"/>
      <c r="N6" s="49"/>
      <c r="O6" s="31"/>
      <c r="P6" s="77"/>
      <c r="Q6" s="78"/>
      <c r="R6" s="78"/>
      <c r="S6" s="163"/>
      <c r="T6" s="163"/>
      <c r="U6" s="79"/>
      <c r="V6" s="136"/>
    </row>
    <row r="7" spans="1:22" ht="18" thickBot="1" x14ac:dyDescent="0.25">
      <c r="A7" s="165" t="s">
        <v>108</v>
      </c>
      <c r="B7" s="53"/>
      <c r="C7" s="54"/>
      <c r="D7" s="54"/>
      <c r="E7" s="54"/>
      <c r="F7" s="64"/>
      <c r="G7" s="55"/>
      <c r="H7" s="19"/>
      <c r="I7" s="53"/>
      <c r="J7" s="54"/>
      <c r="K7" s="54"/>
      <c r="L7" s="54"/>
      <c r="M7" s="64"/>
      <c r="N7" s="55"/>
      <c r="O7" s="44"/>
      <c r="P7" s="53"/>
      <c r="Q7" s="54"/>
      <c r="R7" s="54"/>
      <c r="S7" s="54"/>
      <c r="T7" s="64"/>
      <c r="U7" s="55"/>
      <c r="V7" s="39"/>
    </row>
    <row r="8" spans="1:22" ht="85" x14ac:dyDescent="0.2">
      <c r="A8" s="138" t="s">
        <v>109</v>
      </c>
      <c r="B8" s="89">
        <v>1</v>
      </c>
      <c r="C8" s="62">
        <v>11</v>
      </c>
      <c r="D8" s="62">
        <v>2</v>
      </c>
      <c r="E8" s="62">
        <v>1</v>
      </c>
      <c r="F8" s="63">
        <v>2</v>
      </c>
      <c r="G8" s="90">
        <v>2</v>
      </c>
      <c r="H8" s="91" t="s">
        <v>134</v>
      </c>
      <c r="I8" s="128"/>
      <c r="J8" s="126"/>
      <c r="K8" s="126"/>
      <c r="L8" s="126"/>
      <c r="M8" s="133"/>
      <c r="N8" s="127"/>
      <c r="O8" s="92"/>
      <c r="P8" s="61"/>
      <c r="Q8" s="62"/>
      <c r="R8" s="62"/>
      <c r="S8" s="62"/>
      <c r="T8" s="63"/>
      <c r="U8" s="90"/>
      <c r="V8" s="136"/>
    </row>
    <row r="9" spans="1:22" ht="17" x14ac:dyDescent="0.2">
      <c r="A9" s="23" t="s">
        <v>110</v>
      </c>
      <c r="B9" s="56"/>
      <c r="C9" s="46"/>
      <c r="D9" s="46"/>
      <c r="E9" s="46"/>
      <c r="F9" s="60"/>
      <c r="G9" s="49"/>
      <c r="H9" s="15"/>
      <c r="I9" s="45"/>
      <c r="J9" s="46"/>
      <c r="K9" s="46"/>
      <c r="L9" s="46"/>
      <c r="M9" s="60"/>
      <c r="N9" s="49"/>
      <c r="O9" s="31"/>
      <c r="P9" s="45"/>
      <c r="Q9" s="46"/>
      <c r="R9" s="46"/>
      <c r="S9" s="46"/>
      <c r="T9" s="60"/>
      <c r="U9" s="49"/>
      <c r="V9" s="23"/>
    </row>
    <row r="10" spans="1:22" ht="17" x14ac:dyDescent="0.2">
      <c r="A10" s="23" t="s">
        <v>111</v>
      </c>
      <c r="B10" s="56"/>
      <c r="C10" s="46"/>
      <c r="D10" s="46"/>
      <c r="E10" s="46"/>
      <c r="F10" s="60"/>
      <c r="G10" s="49"/>
      <c r="H10" s="15"/>
      <c r="I10" s="45"/>
      <c r="J10" s="46"/>
      <c r="K10" s="46"/>
      <c r="L10" s="46"/>
      <c r="M10" s="60"/>
      <c r="N10" s="49"/>
      <c r="O10" s="31"/>
      <c r="P10" s="45"/>
      <c r="Q10" s="46"/>
      <c r="R10" s="46"/>
      <c r="S10" s="46"/>
      <c r="T10" s="60"/>
      <c r="U10" s="49"/>
      <c r="V10" s="23"/>
    </row>
    <row r="11" spans="1:22" ht="18" thickBot="1" x14ac:dyDescent="0.25">
      <c r="A11" s="39" t="s">
        <v>112</v>
      </c>
      <c r="B11" s="53"/>
      <c r="C11" s="54"/>
      <c r="D11" s="54"/>
      <c r="E11" s="54"/>
      <c r="F11" s="64"/>
      <c r="G11" s="55"/>
      <c r="H11" s="19"/>
      <c r="I11" s="53"/>
      <c r="J11" s="54"/>
      <c r="K11" s="54"/>
      <c r="L11" s="54"/>
      <c r="M11" s="64"/>
      <c r="N11" s="55"/>
      <c r="O11" s="44"/>
      <c r="P11" s="53"/>
      <c r="Q11" s="54"/>
      <c r="R11" s="54"/>
      <c r="S11" s="54"/>
      <c r="T11" s="64"/>
      <c r="U11" s="55"/>
      <c r="V11" s="39"/>
    </row>
    <row r="12" spans="1:22" s="1" customFormat="1" ht="63" customHeight="1" x14ac:dyDescent="0.2">
      <c r="A12" s="38" t="s">
        <v>113</v>
      </c>
      <c r="B12" s="161"/>
      <c r="C12" s="131"/>
      <c r="D12" s="131"/>
      <c r="E12" s="131"/>
      <c r="F12" s="132"/>
      <c r="G12" s="150"/>
      <c r="H12" s="151"/>
      <c r="I12" s="161"/>
      <c r="J12" s="131"/>
      <c r="K12" s="131"/>
      <c r="L12" s="131"/>
      <c r="M12" s="132"/>
      <c r="N12" s="150"/>
      <c r="O12" s="135"/>
      <c r="P12" s="65"/>
      <c r="Q12" s="46"/>
      <c r="R12" s="46"/>
      <c r="S12" s="46"/>
      <c r="T12" s="60"/>
      <c r="U12" s="49"/>
      <c r="V12" s="136"/>
    </row>
    <row r="13" spans="1:22" s="175" customFormat="1" ht="65" customHeight="1" x14ac:dyDescent="0.2">
      <c r="A13" s="166" t="s">
        <v>114</v>
      </c>
      <c r="B13" s="167"/>
      <c r="C13" s="168"/>
      <c r="D13" s="168"/>
      <c r="E13" s="168"/>
      <c r="F13" s="169"/>
      <c r="G13" s="170"/>
      <c r="H13" s="171"/>
      <c r="I13" s="172"/>
      <c r="J13" s="173"/>
      <c r="K13" s="173"/>
      <c r="L13" s="173"/>
      <c r="M13" s="174"/>
      <c r="N13" s="174"/>
      <c r="O13" s="171"/>
      <c r="P13" s="167"/>
      <c r="Q13" s="168"/>
      <c r="R13" s="168"/>
      <c r="S13" s="168"/>
      <c r="T13" s="169"/>
      <c r="U13" s="170"/>
      <c r="V13" s="171"/>
    </row>
    <row r="14" spans="1:22" ht="17" x14ac:dyDescent="0.2">
      <c r="A14" s="23" t="s">
        <v>115</v>
      </c>
      <c r="B14" s="73"/>
      <c r="C14" s="68"/>
      <c r="D14" s="68"/>
      <c r="E14" s="68"/>
      <c r="F14" s="122"/>
      <c r="G14" s="69"/>
      <c r="H14" s="43"/>
      <c r="I14" s="71"/>
      <c r="J14" s="51"/>
      <c r="K14" s="51"/>
      <c r="L14" s="51"/>
      <c r="M14" s="70"/>
      <c r="N14" s="70"/>
      <c r="O14" s="43"/>
      <c r="P14" s="71"/>
      <c r="Q14" s="51"/>
      <c r="R14" s="51"/>
      <c r="S14" s="51"/>
      <c r="T14" s="70"/>
      <c r="U14" s="52"/>
      <c r="V14" s="43"/>
    </row>
    <row r="15" spans="1:22" ht="18" thickBot="1" x14ac:dyDescent="0.25">
      <c r="A15" s="39" t="s">
        <v>116</v>
      </c>
      <c r="B15" s="76"/>
      <c r="C15" s="58"/>
      <c r="D15" s="58"/>
      <c r="E15" s="58"/>
      <c r="F15" s="120"/>
      <c r="G15" s="59"/>
      <c r="H15" s="39"/>
      <c r="I15" s="66"/>
      <c r="J15" s="54"/>
      <c r="K15" s="54"/>
      <c r="L15" s="54"/>
      <c r="M15" s="64"/>
      <c r="N15" s="64"/>
      <c r="O15" s="137"/>
      <c r="P15" s="66"/>
      <c r="Q15" s="54"/>
      <c r="R15" s="54"/>
      <c r="S15" s="54"/>
      <c r="T15" s="64"/>
      <c r="U15" s="55"/>
      <c r="V15" s="137"/>
    </row>
  </sheetData>
  <mergeCells count="3">
    <mergeCell ref="B2:H2"/>
    <mergeCell ref="I2:O2"/>
    <mergeCell ref="P2:V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B13C0-2BB4-9E45-872A-2940794F46BF}">
  <dimension ref="A1:V15"/>
  <sheetViews>
    <sheetView topLeftCell="A6" zoomScale="62" workbookViewId="0">
      <selection activeCell="J10" sqref="J10"/>
    </sheetView>
  </sheetViews>
  <sheetFormatPr baseColWidth="10" defaultRowHeight="16" x14ac:dyDescent="0.2"/>
  <cols>
    <col min="1" max="1" width="26.83203125" style="1" customWidth="1"/>
    <col min="2" max="2" width="9.83203125" customWidth="1"/>
    <col min="3" max="3" width="10.33203125" customWidth="1"/>
    <col min="4" max="4" width="10.6640625" customWidth="1"/>
    <col min="5" max="6" width="10.33203125" customWidth="1"/>
    <col min="7" max="7" width="11.33203125" customWidth="1"/>
    <col min="8" max="8" width="48" customWidth="1"/>
    <col min="15" max="15" width="48.33203125" style="1" customWidth="1"/>
    <col min="22" max="22" width="43.83203125" style="1" customWidth="1"/>
  </cols>
  <sheetData>
    <row r="1" spans="1:22" ht="17" thickBot="1" x14ac:dyDescent="0.25"/>
    <row r="2" spans="1:22" ht="23" thickBot="1" x14ac:dyDescent="0.25">
      <c r="B2" s="184" t="s">
        <v>14</v>
      </c>
      <c r="C2" s="185"/>
      <c r="D2" s="185"/>
      <c r="E2" s="185"/>
      <c r="F2" s="185"/>
      <c r="G2" s="185"/>
      <c r="H2" s="186"/>
      <c r="I2" s="184" t="s">
        <v>15</v>
      </c>
      <c r="J2" s="185"/>
      <c r="K2" s="185"/>
      <c r="L2" s="185"/>
      <c r="M2" s="185"/>
      <c r="N2" s="185"/>
      <c r="O2" s="186"/>
      <c r="P2" s="190" t="s">
        <v>16</v>
      </c>
      <c r="Q2" s="191"/>
      <c r="R2" s="191"/>
      <c r="S2" s="191"/>
      <c r="T2" s="191"/>
      <c r="U2" s="191"/>
      <c r="V2" s="192"/>
    </row>
    <row r="3" spans="1:22" ht="23" thickBot="1" x14ac:dyDescent="0.25">
      <c r="A3" s="152" t="s">
        <v>5</v>
      </c>
      <c r="B3" s="96" t="s">
        <v>7</v>
      </c>
      <c r="C3" s="97" t="s">
        <v>21</v>
      </c>
      <c r="D3" s="97" t="s">
        <v>9</v>
      </c>
      <c r="E3" s="97" t="s">
        <v>10</v>
      </c>
      <c r="F3" s="121" t="s">
        <v>100</v>
      </c>
      <c r="G3" s="98" t="s">
        <v>101</v>
      </c>
      <c r="H3" s="99" t="s">
        <v>22</v>
      </c>
      <c r="I3" s="96" t="s">
        <v>7</v>
      </c>
      <c r="J3" s="97" t="s">
        <v>21</v>
      </c>
      <c r="K3" s="97" t="s">
        <v>9</v>
      </c>
      <c r="L3" s="97" t="s">
        <v>10</v>
      </c>
      <c r="M3" s="153" t="s">
        <v>100</v>
      </c>
      <c r="N3" s="98" t="s">
        <v>101</v>
      </c>
      <c r="O3" s="99" t="s">
        <v>22</v>
      </c>
      <c r="P3" s="101" t="s">
        <v>7</v>
      </c>
      <c r="Q3" s="123" t="s">
        <v>21</v>
      </c>
      <c r="R3" s="123" t="s">
        <v>9</v>
      </c>
      <c r="S3" s="123" t="s">
        <v>10</v>
      </c>
      <c r="T3" s="123" t="s">
        <v>100</v>
      </c>
      <c r="U3" s="98" t="s">
        <v>101</v>
      </c>
      <c r="V3" s="154" t="s">
        <v>22</v>
      </c>
    </row>
    <row r="4" spans="1:22" ht="83" customHeight="1" x14ac:dyDescent="0.2">
      <c r="A4" s="149" t="s">
        <v>0</v>
      </c>
      <c r="B4" s="45">
        <v>0</v>
      </c>
      <c r="C4" s="46">
        <v>3</v>
      </c>
      <c r="D4" s="47">
        <v>0</v>
      </c>
      <c r="E4" s="46">
        <v>1</v>
      </c>
      <c r="F4" s="60">
        <v>0</v>
      </c>
      <c r="G4" s="48">
        <v>0</v>
      </c>
      <c r="H4" s="138"/>
      <c r="I4" s="146"/>
      <c r="J4" s="62"/>
      <c r="K4" s="62"/>
      <c r="L4" s="62"/>
      <c r="M4" s="63"/>
      <c r="N4" s="90"/>
      <c r="O4" s="149"/>
      <c r="P4" s="146"/>
      <c r="Q4" s="62"/>
      <c r="R4" s="62"/>
      <c r="S4" s="62"/>
      <c r="T4" s="63"/>
      <c r="U4" s="63"/>
      <c r="V4" s="151"/>
    </row>
    <row r="5" spans="1:22" ht="106" customHeight="1" x14ac:dyDescent="0.2">
      <c r="A5" s="16" t="s">
        <v>1</v>
      </c>
      <c r="B5" s="45">
        <v>0</v>
      </c>
      <c r="C5" s="46">
        <v>4</v>
      </c>
      <c r="D5" s="46">
        <v>0</v>
      </c>
      <c r="E5" s="46">
        <v>1</v>
      </c>
      <c r="F5" s="60">
        <v>0</v>
      </c>
      <c r="G5" s="49">
        <v>0</v>
      </c>
      <c r="H5" s="23"/>
      <c r="I5" s="65"/>
      <c r="J5" s="46"/>
      <c r="K5" s="46"/>
      <c r="L5" s="46"/>
      <c r="M5" s="46"/>
      <c r="N5" s="49"/>
      <c r="O5" s="23"/>
      <c r="P5" s="65"/>
      <c r="Q5" s="46"/>
      <c r="R5" s="46"/>
      <c r="S5" s="46"/>
      <c r="T5" s="60"/>
      <c r="U5" s="60"/>
      <c r="V5" s="23"/>
    </row>
    <row r="6" spans="1:22" ht="106" customHeight="1" x14ac:dyDescent="0.2">
      <c r="A6" s="41" t="s">
        <v>71</v>
      </c>
      <c r="B6" s="50">
        <v>0</v>
      </c>
      <c r="C6" s="51">
        <v>5</v>
      </c>
      <c r="D6" s="51">
        <v>0</v>
      </c>
      <c r="E6" s="51">
        <v>1</v>
      </c>
      <c r="F6" s="70">
        <v>0</v>
      </c>
      <c r="G6" s="52">
        <v>1</v>
      </c>
      <c r="H6" s="43" t="s">
        <v>120</v>
      </c>
      <c r="I6" s="65"/>
      <c r="J6" s="46"/>
      <c r="K6" s="46"/>
      <c r="L6" s="46"/>
      <c r="M6" s="46"/>
      <c r="N6" s="49"/>
      <c r="O6" s="23"/>
      <c r="P6" s="65"/>
      <c r="Q6" s="46"/>
      <c r="R6" s="51"/>
      <c r="S6" s="51"/>
      <c r="T6" s="70"/>
      <c r="U6" s="70"/>
      <c r="V6" s="23"/>
    </row>
    <row r="7" spans="1:22" ht="106" customHeight="1" thickBot="1" x14ac:dyDescent="0.25">
      <c r="A7" s="17" t="s">
        <v>23</v>
      </c>
      <c r="B7" s="53">
        <v>0</v>
      </c>
      <c r="C7" s="54">
        <v>4</v>
      </c>
      <c r="D7" s="54">
        <v>0</v>
      </c>
      <c r="E7" s="54">
        <v>1</v>
      </c>
      <c r="F7" s="64">
        <v>0</v>
      </c>
      <c r="G7" s="55">
        <v>0</v>
      </c>
      <c r="H7" s="39"/>
      <c r="I7" s="182"/>
      <c r="J7" s="143"/>
      <c r="K7" s="143"/>
      <c r="L7" s="143"/>
      <c r="M7" s="144"/>
      <c r="N7" s="145"/>
      <c r="O7" s="148"/>
      <c r="P7" s="147"/>
      <c r="Q7" s="140"/>
      <c r="R7" s="51"/>
      <c r="S7" s="51"/>
      <c r="T7" s="70"/>
      <c r="U7" s="70"/>
      <c r="V7" s="137"/>
    </row>
    <row r="8" spans="1:22" ht="153" customHeight="1" x14ac:dyDescent="0.2">
      <c r="A8" s="129" t="s">
        <v>20</v>
      </c>
      <c r="B8" s="45">
        <v>0</v>
      </c>
      <c r="C8" s="46">
        <v>3</v>
      </c>
      <c r="D8" s="46">
        <v>0</v>
      </c>
      <c r="E8" s="46">
        <v>1</v>
      </c>
      <c r="F8" s="60">
        <v>0</v>
      </c>
      <c r="G8" s="49">
        <v>2</v>
      </c>
      <c r="H8" s="23" t="s">
        <v>121</v>
      </c>
      <c r="I8" s="134"/>
      <c r="J8" s="126"/>
      <c r="K8" s="126"/>
      <c r="L8" s="126"/>
      <c r="M8" s="126"/>
      <c r="N8" s="133"/>
      <c r="O8" s="135"/>
      <c r="P8" s="134"/>
      <c r="Q8" s="126"/>
      <c r="R8" s="126"/>
      <c r="S8" s="126"/>
      <c r="T8" s="126"/>
      <c r="U8" s="133"/>
      <c r="V8" s="38"/>
    </row>
    <row r="9" spans="1:22" ht="233" customHeight="1" x14ac:dyDescent="0.2">
      <c r="A9" s="129" t="s">
        <v>72</v>
      </c>
      <c r="B9" s="45">
        <v>2</v>
      </c>
      <c r="C9" s="46">
        <v>6</v>
      </c>
      <c r="D9" s="46">
        <v>0</v>
      </c>
      <c r="E9" s="46">
        <v>1</v>
      </c>
      <c r="F9" s="60">
        <v>2</v>
      </c>
      <c r="G9" s="49">
        <v>6</v>
      </c>
      <c r="H9" s="23" t="s">
        <v>119</v>
      </c>
      <c r="I9" s="65"/>
      <c r="J9" s="46"/>
      <c r="K9" s="46"/>
      <c r="L9" s="46"/>
      <c r="M9" s="46"/>
      <c r="N9" s="60"/>
      <c r="O9" s="23"/>
      <c r="P9" s="65"/>
      <c r="Q9" s="46"/>
      <c r="R9" s="46"/>
      <c r="S9" s="46"/>
      <c r="T9" s="46"/>
      <c r="U9" s="60"/>
      <c r="V9" s="23"/>
    </row>
    <row r="10" spans="1:22" ht="156" customHeight="1" x14ac:dyDescent="0.2">
      <c r="A10" s="129" t="s">
        <v>24</v>
      </c>
      <c r="B10" s="45">
        <v>0</v>
      </c>
      <c r="C10" s="46">
        <v>5</v>
      </c>
      <c r="D10" s="46">
        <v>0</v>
      </c>
      <c r="E10" s="46">
        <v>1</v>
      </c>
      <c r="F10" s="60">
        <v>0</v>
      </c>
      <c r="G10" s="49">
        <v>1</v>
      </c>
      <c r="H10" s="183" t="s">
        <v>126</v>
      </c>
      <c r="I10" s="65"/>
      <c r="J10" s="46"/>
      <c r="K10" s="46"/>
      <c r="L10" s="46"/>
      <c r="M10" s="46"/>
      <c r="N10" s="60"/>
      <c r="O10" s="23"/>
      <c r="P10" s="65"/>
      <c r="Q10" s="46"/>
      <c r="R10" s="46"/>
      <c r="S10" s="46"/>
      <c r="T10" s="46"/>
      <c r="U10" s="60"/>
      <c r="V10" s="23"/>
    </row>
    <row r="11" spans="1:22" ht="124" customHeight="1" thickBot="1" x14ac:dyDescent="0.25">
      <c r="A11" s="130" t="s">
        <v>25</v>
      </c>
      <c r="B11" s="53">
        <v>1</v>
      </c>
      <c r="C11" s="54">
        <v>8</v>
      </c>
      <c r="D11" s="54">
        <v>0</v>
      </c>
      <c r="E11" s="54">
        <v>1</v>
      </c>
      <c r="F11" s="64">
        <v>1</v>
      </c>
      <c r="G11" s="55">
        <v>4</v>
      </c>
      <c r="H11" s="39" t="s">
        <v>123</v>
      </c>
      <c r="I11" s="66"/>
      <c r="J11" s="54"/>
      <c r="K11" s="54"/>
      <c r="L11" s="54"/>
      <c r="M11" s="54"/>
      <c r="N11" s="64"/>
      <c r="O11" s="137"/>
      <c r="P11" s="66"/>
      <c r="Q11" s="54"/>
      <c r="R11" s="54"/>
      <c r="S11" s="54"/>
      <c r="T11" s="54"/>
      <c r="U11" s="64"/>
      <c r="V11" s="139"/>
    </row>
    <row r="12" spans="1:22" ht="77" customHeight="1" x14ac:dyDescent="0.2">
      <c r="A12" s="138" t="s">
        <v>26</v>
      </c>
      <c r="B12" s="56">
        <v>0</v>
      </c>
      <c r="C12" s="47">
        <v>5</v>
      </c>
      <c r="D12" s="47">
        <v>0</v>
      </c>
      <c r="E12" s="47">
        <v>1</v>
      </c>
      <c r="F12" s="119">
        <v>0</v>
      </c>
      <c r="G12" s="48">
        <v>2</v>
      </c>
      <c r="H12" s="15" t="s">
        <v>125</v>
      </c>
      <c r="I12" s="61"/>
      <c r="J12" s="62"/>
      <c r="K12" s="62"/>
      <c r="L12" s="62"/>
      <c r="M12" s="62"/>
      <c r="N12" s="90"/>
      <c r="O12" s="91"/>
      <c r="P12" s="61"/>
      <c r="Q12" s="62"/>
      <c r="R12" s="62"/>
      <c r="S12" s="62"/>
      <c r="T12" s="62"/>
      <c r="U12" s="63"/>
      <c r="V12" s="135"/>
    </row>
    <row r="13" spans="1:22" ht="77" customHeight="1" x14ac:dyDescent="0.2">
      <c r="A13" s="23" t="s">
        <v>73</v>
      </c>
      <c r="B13" s="56">
        <v>0</v>
      </c>
      <c r="C13" s="47">
        <v>5</v>
      </c>
      <c r="D13" s="47">
        <v>0</v>
      </c>
      <c r="E13" s="47">
        <v>1</v>
      </c>
      <c r="F13" s="119">
        <v>0</v>
      </c>
      <c r="G13" s="48">
        <v>1</v>
      </c>
      <c r="H13" s="15" t="s">
        <v>124</v>
      </c>
      <c r="I13" s="45"/>
      <c r="J13" s="46"/>
      <c r="K13" s="46"/>
      <c r="L13" s="46"/>
      <c r="M13" s="46"/>
      <c r="N13" s="49"/>
      <c r="O13" s="80"/>
      <c r="P13" s="45"/>
      <c r="Q13" s="46"/>
      <c r="R13" s="46"/>
      <c r="S13" s="46"/>
      <c r="T13" s="46"/>
      <c r="U13" s="60"/>
      <c r="V13" s="136"/>
    </row>
    <row r="14" spans="1:22" ht="106" customHeight="1" x14ac:dyDescent="0.2">
      <c r="A14" s="23" t="s">
        <v>43</v>
      </c>
      <c r="B14" s="56"/>
      <c r="C14" s="47"/>
      <c r="D14" s="47"/>
      <c r="E14" s="47"/>
      <c r="F14" s="119"/>
      <c r="G14" s="48"/>
      <c r="H14" s="15"/>
      <c r="I14" s="45"/>
      <c r="J14" s="46"/>
      <c r="K14" s="46"/>
      <c r="L14" s="46"/>
      <c r="M14" s="46"/>
      <c r="N14" s="49"/>
      <c r="O14" s="15"/>
      <c r="P14" s="45"/>
      <c r="Q14" s="46"/>
      <c r="R14" s="46"/>
      <c r="S14" s="46"/>
      <c r="T14" s="46"/>
      <c r="U14" s="60"/>
      <c r="V14" s="136"/>
    </row>
    <row r="15" spans="1:22" ht="128" customHeight="1" thickBot="1" x14ac:dyDescent="0.25">
      <c r="A15" s="39" t="s">
        <v>27</v>
      </c>
      <c r="B15" s="57"/>
      <c r="C15" s="58"/>
      <c r="D15" s="58"/>
      <c r="E15" s="58"/>
      <c r="F15" s="120"/>
      <c r="G15" s="59"/>
      <c r="H15" s="19"/>
      <c r="I15" s="53"/>
      <c r="J15" s="54"/>
      <c r="K15" s="54"/>
      <c r="L15" s="54"/>
      <c r="M15" s="54"/>
      <c r="N15" s="55"/>
      <c r="O15" s="19"/>
      <c r="P15" s="53"/>
      <c r="Q15" s="54"/>
      <c r="R15" s="54"/>
      <c r="S15" s="54"/>
      <c r="T15" s="54"/>
      <c r="U15" s="64"/>
      <c r="V15" s="137"/>
    </row>
  </sheetData>
  <mergeCells count="3">
    <mergeCell ref="B2:H2"/>
    <mergeCell ref="I2:O2"/>
    <mergeCell ref="P2:V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1CC1D-F490-E844-B02C-C67875131158}">
  <dimension ref="A1:AF105"/>
  <sheetViews>
    <sheetView tabSelected="1" topLeftCell="A9" zoomScale="94" workbookViewId="0">
      <selection activeCell="H25" sqref="H25"/>
    </sheetView>
  </sheetViews>
  <sheetFormatPr baseColWidth="10" defaultRowHeight="16" x14ac:dyDescent="0.2"/>
  <cols>
    <col min="1" max="1" width="26.83203125" customWidth="1"/>
    <col min="2" max="2" width="9.83203125" customWidth="1"/>
    <col min="3" max="3" width="10.33203125" customWidth="1"/>
    <col min="4" max="4" width="10.6640625" customWidth="1"/>
    <col min="5" max="6" width="10.33203125" customWidth="1"/>
    <col min="7" max="7" width="11.33203125" customWidth="1"/>
    <col min="8" max="8" width="48" customWidth="1"/>
    <col min="15" max="15" width="48.33203125" style="1" customWidth="1"/>
    <col min="22" max="22" width="43.83203125" style="1" customWidth="1"/>
    <col min="23" max="32" width="11.83203125" bestFit="1" customWidth="1"/>
  </cols>
  <sheetData>
    <row r="1" spans="1:32" ht="136" customHeight="1" x14ac:dyDescent="0.2">
      <c r="A1" s="8" t="s">
        <v>6</v>
      </c>
      <c r="B1" s="193" t="s">
        <v>4</v>
      </c>
      <c r="C1" s="193"/>
      <c r="D1" s="193"/>
    </row>
    <row r="2" spans="1:32" ht="123" customHeight="1" x14ac:dyDescent="0.2">
      <c r="A2" s="8" t="s">
        <v>36</v>
      </c>
      <c r="B2" s="193" t="s">
        <v>37</v>
      </c>
      <c r="C2" s="193"/>
      <c r="D2" s="193"/>
    </row>
    <row r="3" spans="1:32" ht="72" customHeight="1" x14ac:dyDescent="0.2">
      <c r="A3" s="8" t="s">
        <v>8</v>
      </c>
      <c r="B3" s="193" t="s">
        <v>2</v>
      </c>
      <c r="C3" s="193"/>
      <c r="D3" s="193"/>
    </row>
    <row r="4" spans="1:32" ht="80" customHeight="1" x14ac:dyDescent="0.2">
      <c r="A4" s="8" t="s">
        <v>11</v>
      </c>
      <c r="B4" s="193" t="s">
        <v>19</v>
      </c>
      <c r="C4" s="193"/>
      <c r="D4" s="193"/>
    </row>
    <row r="5" spans="1:32" ht="123" customHeight="1" x14ac:dyDescent="0.2">
      <c r="A5" s="8" t="s">
        <v>12</v>
      </c>
      <c r="B5" s="193" t="s">
        <v>3</v>
      </c>
      <c r="C5" s="193"/>
      <c r="D5" s="193"/>
    </row>
    <row r="6" spans="1:32" ht="34" customHeight="1" x14ac:dyDescent="0.2">
      <c r="A6" s="22" t="s">
        <v>29</v>
      </c>
      <c r="B6" s="194" t="s">
        <v>30</v>
      </c>
      <c r="C6" s="194"/>
      <c r="D6" s="194"/>
    </row>
    <row r="7" spans="1:32" ht="34" customHeight="1" x14ac:dyDescent="0.2">
      <c r="A7" s="22" t="s">
        <v>31</v>
      </c>
      <c r="B7" s="194" t="s">
        <v>32</v>
      </c>
      <c r="C7" s="194"/>
      <c r="D7" s="194"/>
    </row>
    <row r="9" spans="1:32" ht="48" customHeight="1" x14ac:dyDescent="0.2">
      <c r="A9" s="195" t="s">
        <v>117</v>
      </c>
      <c r="B9" s="195"/>
      <c r="C9" s="195"/>
      <c r="D9" s="195"/>
      <c r="E9" s="195"/>
      <c r="F9" s="195"/>
      <c r="G9" s="195"/>
      <c r="H9" s="195"/>
      <c r="I9" s="195"/>
      <c r="J9" s="195"/>
      <c r="K9" s="195"/>
      <c r="L9" s="195"/>
      <c r="M9" s="195"/>
      <c r="N9" s="195"/>
      <c r="O9" s="195"/>
      <c r="P9" s="195"/>
      <c r="Q9" s="195"/>
      <c r="R9" s="195"/>
      <c r="S9" s="195"/>
      <c r="T9" s="195"/>
      <c r="U9" s="195"/>
      <c r="V9" s="195"/>
      <c r="W9" s="195"/>
      <c r="X9" s="195"/>
      <c r="Y9" s="195"/>
      <c r="Z9" s="195"/>
      <c r="AA9" s="195"/>
      <c r="AB9" s="195"/>
      <c r="AC9" s="195"/>
      <c r="AD9" s="195"/>
      <c r="AE9" s="195"/>
      <c r="AF9" s="195"/>
    </row>
    <row r="10" spans="1:32" ht="17" thickBot="1" x14ac:dyDescent="0.25"/>
    <row r="11" spans="1:32" ht="23" thickBot="1" x14ac:dyDescent="0.25">
      <c r="B11" s="184" t="s">
        <v>14</v>
      </c>
      <c r="C11" s="185"/>
      <c r="D11" s="185"/>
      <c r="E11" s="185"/>
      <c r="F11" s="185"/>
      <c r="G11" s="185"/>
      <c r="H11" s="186"/>
      <c r="I11" s="184" t="s">
        <v>15</v>
      </c>
      <c r="J11" s="185"/>
      <c r="K11" s="185"/>
      <c r="L11" s="185"/>
      <c r="M11" s="185"/>
      <c r="N11" s="185"/>
      <c r="O11" s="186"/>
      <c r="P11" s="187" t="s">
        <v>16</v>
      </c>
      <c r="Q11" s="188"/>
      <c r="R11" s="188"/>
      <c r="S11" s="188"/>
      <c r="T11" s="188"/>
      <c r="U11" s="188"/>
      <c r="V11" s="189"/>
      <c r="W11" s="187" t="s">
        <v>17</v>
      </c>
      <c r="X11" s="188"/>
      <c r="Y11" s="188"/>
      <c r="Z11" s="188"/>
      <c r="AA11" s="189"/>
      <c r="AB11" s="187" t="s">
        <v>18</v>
      </c>
      <c r="AC11" s="188"/>
      <c r="AD11" s="188"/>
      <c r="AE11" s="188"/>
      <c r="AF11" s="189"/>
    </row>
    <row r="12" spans="1:32" ht="22" x14ac:dyDescent="0.3">
      <c r="A12" s="9" t="s">
        <v>5</v>
      </c>
      <c r="B12" s="5" t="s">
        <v>7</v>
      </c>
      <c r="C12" s="6" t="s">
        <v>21</v>
      </c>
      <c r="D12" s="6" t="s">
        <v>9</v>
      </c>
      <c r="E12" s="6" t="s">
        <v>10</v>
      </c>
      <c r="F12" s="176" t="s">
        <v>100</v>
      </c>
      <c r="G12" s="7" t="s">
        <v>101</v>
      </c>
      <c r="H12" s="14" t="s">
        <v>22</v>
      </c>
      <c r="I12" s="5" t="s">
        <v>7</v>
      </c>
      <c r="J12" s="6" t="s">
        <v>21</v>
      </c>
      <c r="K12" s="6" t="s">
        <v>9</v>
      </c>
      <c r="L12" s="6" t="s">
        <v>10</v>
      </c>
      <c r="M12" s="176" t="s">
        <v>100</v>
      </c>
      <c r="N12" s="7" t="s">
        <v>101</v>
      </c>
      <c r="O12" s="29" t="s">
        <v>22</v>
      </c>
      <c r="P12" s="3" t="s">
        <v>7</v>
      </c>
      <c r="Q12" s="2" t="s">
        <v>21</v>
      </c>
      <c r="R12" s="2" t="s">
        <v>9</v>
      </c>
      <c r="S12" s="2" t="s">
        <v>10</v>
      </c>
      <c r="T12" s="18" t="s">
        <v>100</v>
      </c>
      <c r="U12" s="4" t="s">
        <v>101</v>
      </c>
      <c r="V12" s="18" t="s">
        <v>22</v>
      </c>
      <c r="W12" s="10" t="s">
        <v>7</v>
      </c>
      <c r="X12" s="25" t="s">
        <v>21</v>
      </c>
      <c r="Y12" s="11" t="s">
        <v>9</v>
      </c>
      <c r="Z12" s="11" t="s">
        <v>10</v>
      </c>
      <c r="AA12" s="13" t="s">
        <v>13</v>
      </c>
      <c r="AB12" s="10" t="s">
        <v>7</v>
      </c>
      <c r="AC12" s="11" t="s">
        <v>21</v>
      </c>
      <c r="AD12" s="11" t="s">
        <v>9</v>
      </c>
      <c r="AE12" s="11" t="s">
        <v>10</v>
      </c>
      <c r="AF12" s="13" t="s">
        <v>13</v>
      </c>
    </row>
    <row r="13" spans="1:32" ht="83" customHeight="1" x14ac:dyDescent="0.2">
      <c r="A13" s="16" t="s">
        <v>0</v>
      </c>
      <c r="B13" s="45">
        <v>0</v>
      </c>
      <c r="C13" s="46">
        <v>3</v>
      </c>
      <c r="D13" s="47">
        <v>0</v>
      </c>
      <c r="E13" s="46">
        <v>1</v>
      </c>
      <c r="F13" s="60">
        <v>0</v>
      </c>
      <c r="G13" s="48">
        <v>0</v>
      </c>
      <c r="H13" s="15"/>
      <c r="I13" s="45"/>
      <c r="J13" s="46"/>
      <c r="K13" s="46"/>
      <c r="L13" s="46"/>
      <c r="M13" s="60"/>
      <c r="N13" s="49"/>
      <c r="O13" s="27"/>
      <c r="P13" s="45"/>
      <c r="Q13" s="46"/>
      <c r="R13" s="46"/>
      <c r="S13" s="46"/>
      <c r="T13" s="60"/>
      <c r="U13" s="49"/>
      <c r="V13" s="27"/>
      <c r="W13" s="81">
        <f>AVERAGE(B13,I13,P13)</f>
        <v>0</v>
      </c>
      <c r="X13" s="81">
        <f>AVERAGE(C13,J13,Q13)</f>
        <v>3</v>
      </c>
      <c r="Y13" s="81">
        <f>AVERAGE(D13,K13,R13)</f>
        <v>0</v>
      </c>
      <c r="Z13" s="81">
        <f>AVERAGE(E13,L13,S13)</f>
        <v>1</v>
      </c>
      <c r="AA13" s="86">
        <f>AVERAGE(G13,N13,U13)</f>
        <v>0</v>
      </c>
      <c r="AB13" s="82" t="e">
        <f>STDEV(B13,I13,P13)</f>
        <v>#DIV/0!</v>
      </c>
      <c r="AC13" s="82" t="e">
        <f>STDEV(C13,J13,Q13)</f>
        <v>#DIV/0!</v>
      </c>
      <c r="AD13" s="82" t="e">
        <f>STDEV(D13,K13,R13)</f>
        <v>#DIV/0!</v>
      </c>
      <c r="AE13" s="82" t="e">
        <f>STDEV(E13,L13,S13)</f>
        <v>#DIV/0!</v>
      </c>
      <c r="AF13" s="83" t="e">
        <f>STDEV(G13,N13,U13)</f>
        <v>#DIV/0!</v>
      </c>
    </row>
    <row r="14" spans="1:32" ht="106" customHeight="1" x14ac:dyDescent="0.2">
      <c r="A14" s="16" t="s">
        <v>1</v>
      </c>
      <c r="B14" s="45">
        <v>0</v>
      </c>
      <c r="C14" s="46">
        <v>4</v>
      </c>
      <c r="D14" s="46">
        <v>0</v>
      </c>
      <c r="E14" s="46">
        <v>1</v>
      </c>
      <c r="F14" s="60">
        <v>0</v>
      </c>
      <c r="G14" s="49">
        <v>0</v>
      </c>
      <c r="H14" s="15"/>
      <c r="I14" s="45"/>
      <c r="J14" s="46"/>
      <c r="K14" s="46"/>
      <c r="L14" s="46"/>
      <c r="M14" s="60"/>
      <c r="N14" s="49"/>
      <c r="O14" s="15"/>
      <c r="P14" s="45"/>
      <c r="Q14" s="46"/>
      <c r="R14" s="46"/>
      <c r="S14" s="46"/>
      <c r="T14" s="60"/>
      <c r="U14" s="49"/>
      <c r="V14" s="15"/>
      <c r="W14" s="81">
        <f>AVERAGE(B14,I14,P14)</f>
        <v>0</v>
      </c>
      <c r="X14" s="81">
        <f t="shared" ref="X14:Z16" si="0">AVERAGE(C14,J14,Q14)</f>
        <v>4</v>
      </c>
      <c r="Y14" s="81">
        <f>AVERAGE(D14,K14,R14)</f>
        <v>0</v>
      </c>
      <c r="Z14" s="81">
        <f>AVERAGE(E14,L14,S14)</f>
        <v>1</v>
      </c>
      <c r="AA14" s="86">
        <f t="shared" ref="AA14:AA16" si="1">AVERAGE(G14,N14,U14)</f>
        <v>0</v>
      </c>
      <c r="AB14" s="82" t="e">
        <f>STDEV(B14,I14,P14)</f>
        <v>#DIV/0!</v>
      </c>
      <c r="AC14" s="82" t="e">
        <f t="shared" ref="AC14:AC16" si="2">STDEV(C14,J14,Q14)</f>
        <v>#DIV/0!</v>
      </c>
      <c r="AD14" s="82" t="e">
        <f>STDEV(D14,K14,R14)</f>
        <v>#DIV/0!</v>
      </c>
      <c r="AE14" s="82" t="e">
        <f>STDEV(E14,L14,S14)</f>
        <v>#DIV/0!</v>
      </c>
      <c r="AF14" s="83" t="e">
        <f t="shared" ref="AF14:AF16" si="3">STDEV(G14,N14,U14)</f>
        <v>#DIV/0!</v>
      </c>
    </row>
    <row r="15" spans="1:32" ht="106" customHeight="1" x14ac:dyDescent="0.2">
      <c r="A15" s="41" t="s">
        <v>71</v>
      </c>
      <c r="B15" s="50">
        <v>0</v>
      </c>
      <c r="C15" s="51">
        <v>5</v>
      </c>
      <c r="D15" s="51">
        <v>0</v>
      </c>
      <c r="E15" s="51">
        <v>1</v>
      </c>
      <c r="F15" s="70">
        <v>0</v>
      </c>
      <c r="G15" s="52">
        <v>1</v>
      </c>
      <c r="H15" s="42" t="s">
        <v>120</v>
      </c>
      <c r="I15" s="50"/>
      <c r="J15" s="51"/>
      <c r="K15" s="51"/>
      <c r="L15" s="51"/>
      <c r="M15" s="70"/>
      <c r="N15" s="52"/>
      <c r="O15" s="15"/>
      <c r="P15" s="50"/>
      <c r="Q15" s="51"/>
      <c r="R15" s="51"/>
      <c r="S15" s="51"/>
      <c r="T15" s="70"/>
      <c r="U15" s="52"/>
      <c r="V15" s="42"/>
      <c r="W15" s="81">
        <f>AVERAGE(B15,I15,P15)</f>
        <v>0</v>
      </c>
      <c r="X15" s="81">
        <f t="shared" si="0"/>
        <v>5</v>
      </c>
      <c r="Y15" s="81">
        <f t="shared" si="0"/>
        <v>0</v>
      </c>
      <c r="Z15" s="81">
        <f t="shared" si="0"/>
        <v>1</v>
      </c>
      <c r="AA15" s="86">
        <f t="shared" si="1"/>
        <v>1</v>
      </c>
      <c r="AB15" s="82" t="e">
        <f>STDEV(B15,I15,P15)</f>
        <v>#DIV/0!</v>
      </c>
      <c r="AC15" s="82" t="e">
        <f t="shared" si="2"/>
        <v>#DIV/0!</v>
      </c>
      <c r="AD15" s="82" t="e">
        <f>STDEV(D15,K15,R15)</f>
        <v>#DIV/0!</v>
      </c>
      <c r="AE15" s="82" t="e">
        <f t="shared" ref="AE15" si="4">STDEV(E15,L15,S15)</f>
        <v>#DIV/0!</v>
      </c>
      <c r="AF15" s="83" t="e">
        <f t="shared" si="3"/>
        <v>#DIV/0!</v>
      </c>
    </row>
    <row r="16" spans="1:32" ht="106" customHeight="1" thickBot="1" x14ac:dyDescent="0.25">
      <c r="A16" s="17" t="s">
        <v>23</v>
      </c>
      <c r="B16" s="53">
        <v>0</v>
      </c>
      <c r="C16" s="54">
        <v>4</v>
      </c>
      <c r="D16" s="54">
        <v>0</v>
      </c>
      <c r="E16" s="54">
        <v>1</v>
      </c>
      <c r="F16" s="64">
        <v>0</v>
      </c>
      <c r="G16" s="55">
        <v>0</v>
      </c>
      <c r="H16" s="19"/>
      <c r="I16" s="53"/>
      <c r="J16" s="54"/>
      <c r="K16" s="54"/>
      <c r="L16" s="54"/>
      <c r="M16" s="64"/>
      <c r="N16" s="55"/>
      <c r="O16" s="28"/>
      <c r="P16" s="53"/>
      <c r="Q16" s="54"/>
      <c r="R16" s="54"/>
      <c r="S16" s="54"/>
      <c r="T16" s="64"/>
      <c r="U16" s="55"/>
      <c r="V16" s="28"/>
      <c r="W16" s="87">
        <f>AVERAGE(B16,I16,P16)</f>
        <v>0</v>
      </c>
      <c r="X16" s="87">
        <f t="shared" si="0"/>
        <v>4</v>
      </c>
      <c r="Y16" s="87">
        <f>AVERAGE(D16,K16,R16)</f>
        <v>0</v>
      </c>
      <c r="Z16" s="87">
        <f>AVERAGE(E16,L16,S16)</f>
        <v>1</v>
      </c>
      <c r="AA16" s="88">
        <f t="shared" si="1"/>
        <v>0</v>
      </c>
      <c r="AB16" s="84" t="e">
        <f>STDEV(B16,I16,P16)</f>
        <v>#DIV/0!</v>
      </c>
      <c r="AC16" s="84" t="e">
        <f t="shared" si="2"/>
        <v>#DIV/0!</v>
      </c>
      <c r="AD16" s="84" t="e">
        <f>STDEV(D16,K16,R16)</f>
        <v>#DIV/0!</v>
      </c>
      <c r="AE16" s="84" t="e">
        <f>STDEV(E16,L16,S16)</f>
        <v>#DIV/0!</v>
      </c>
      <c r="AF16" s="85" t="e">
        <f t="shared" si="3"/>
        <v>#DIV/0!</v>
      </c>
    </row>
    <row r="17" spans="1:32" x14ac:dyDescent="0.2">
      <c r="AB17" s="26"/>
    </row>
    <row r="19" spans="1:32" ht="17" thickBot="1" x14ac:dyDescent="0.25"/>
    <row r="20" spans="1:32" ht="23" thickBot="1" x14ac:dyDescent="0.25">
      <c r="B20" s="184" t="s">
        <v>14</v>
      </c>
      <c r="C20" s="185"/>
      <c r="D20" s="185"/>
      <c r="E20" s="185"/>
      <c r="F20" s="185"/>
      <c r="G20" s="185"/>
      <c r="H20" s="185"/>
      <c r="I20" s="196" t="s">
        <v>15</v>
      </c>
      <c r="J20" s="197"/>
      <c r="K20" s="197"/>
      <c r="L20" s="197"/>
      <c r="M20" s="197"/>
      <c r="N20" s="197"/>
      <c r="O20" s="186"/>
      <c r="P20" s="187" t="s">
        <v>16</v>
      </c>
      <c r="Q20" s="188"/>
      <c r="R20" s="188"/>
      <c r="S20" s="188"/>
      <c r="T20" s="188"/>
      <c r="U20" s="188"/>
      <c r="V20" s="189"/>
      <c r="W20" s="187" t="s">
        <v>17</v>
      </c>
      <c r="X20" s="188"/>
      <c r="Y20" s="188"/>
      <c r="Z20" s="188"/>
      <c r="AA20" s="189"/>
      <c r="AB20" s="187" t="s">
        <v>18</v>
      </c>
      <c r="AC20" s="188"/>
      <c r="AD20" s="188"/>
      <c r="AE20" s="188"/>
      <c r="AF20" s="189"/>
    </row>
    <row r="21" spans="1:32" ht="22" x14ac:dyDescent="0.3">
      <c r="A21" s="9" t="s">
        <v>5</v>
      </c>
      <c r="B21" s="5" t="s">
        <v>7</v>
      </c>
      <c r="C21" s="6" t="s">
        <v>21</v>
      </c>
      <c r="D21" s="6" t="s">
        <v>9</v>
      </c>
      <c r="E21" s="6" t="s">
        <v>10</v>
      </c>
      <c r="F21" s="176" t="s">
        <v>100</v>
      </c>
      <c r="G21" s="7" t="s">
        <v>13</v>
      </c>
      <c r="H21" s="14" t="s">
        <v>22</v>
      </c>
      <c r="I21" s="33" t="s">
        <v>7</v>
      </c>
      <c r="J21" s="12" t="s">
        <v>21</v>
      </c>
      <c r="K21" s="12" t="s">
        <v>9</v>
      </c>
      <c r="L21" s="12" t="s">
        <v>10</v>
      </c>
      <c r="M21" s="35" t="s">
        <v>100</v>
      </c>
      <c r="N21" s="34" t="s">
        <v>13</v>
      </c>
      <c r="O21" s="30" t="s">
        <v>22</v>
      </c>
      <c r="P21" s="3" t="s">
        <v>7</v>
      </c>
      <c r="Q21" s="2" t="s">
        <v>21</v>
      </c>
      <c r="R21" s="2" t="s">
        <v>9</v>
      </c>
      <c r="S21" s="2" t="s">
        <v>10</v>
      </c>
      <c r="T21" s="18" t="s">
        <v>100</v>
      </c>
      <c r="U21" s="4" t="s">
        <v>13</v>
      </c>
      <c r="V21" s="18" t="s">
        <v>22</v>
      </c>
      <c r="W21" s="10" t="s">
        <v>7</v>
      </c>
      <c r="X21" s="25" t="s">
        <v>21</v>
      </c>
      <c r="Y21" s="11" t="s">
        <v>9</v>
      </c>
      <c r="Z21" s="11" t="s">
        <v>10</v>
      </c>
      <c r="AA21" s="13" t="s">
        <v>13</v>
      </c>
      <c r="AB21" s="10" t="s">
        <v>7</v>
      </c>
      <c r="AC21" s="11" t="s">
        <v>21</v>
      </c>
      <c r="AD21" s="11" t="s">
        <v>9</v>
      </c>
      <c r="AE21" s="11" t="s">
        <v>10</v>
      </c>
      <c r="AF21" s="13" t="s">
        <v>13</v>
      </c>
    </row>
    <row r="22" spans="1:32" ht="134" customHeight="1" x14ac:dyDescent="0.2">
      <c r="A22" s="16" t="s">
        <v>20</v>
      </c>
      <c r="B22" s="45">
        <v>0</v>
      </c>
      <c r="C22" s="46">
        <v>3</v>
      </c>
      <c r="D22" s="46">
        <v>0</v>
      </c>
      <c r="E22" s="46">
        <v>1</v>
      </c>
      <c r="F22" s="60">
        <v>0</v>
      </c>
      <c r="G22" s="49">
        <v>2</v>
      </c>
      <c r="H22" s="15" t="s">
        <v>121</v>
      </c>
      <c r="I22" s="45"/>
      <c r="J22" s="46"/>
      <c r="K22" s="46"/>
      <c r="L22" s="46"/>
      <c r="M22" s="60"/>
      <c r="N22" s="49"/>
      <c r="O22" s="32"/>
      <c r="P22" s="45"/>
      <c r="Q22" s="46"/>
      <c r="R22" s="46"/>
      <c r="S22" s="46"/>
      <c r="T22" s="60"/>
      <c r="U22" s="49"/>
      <c r="V22" s="15"/>
      <c r="W22" s="81">
        <f>AVERAGE(B22,I22,P22)</f>
        <v>0</v>
      </c>
      <c r="X22" s="81">
        <f t="shared" ref="X22:Z24" si="5">AVERAGE(C22,J22,Q22)</f>
        <v>3</v>
      </c>
      <c r="Y22" s="81">
        <f>AVERAGE(D22,K22,R22)</f>
        <v>0</v>
      </c>
      <c r="Z22" s="81">
        <f>AVERAGE(E22,L22,S22)</f>
        <v>1</v>
      </c>
      <c r="AA22" s="81">
        <f t="shared" ref="AA22:AA24" si="6">AVERAGE(G22,N22,U22)</f>
        <v>2</v>
      </c>
      <c r="AB22" s="82" t="e">
        <f>STDEV(B22,I22,P22)</f>
        <v>#DIV/0!</v>
      </c>
      <c r="AC22" s="82" t="e">
        <f t="shared" ref="AC22:AE24" si="7">STDEV(C22,J22,Q22)</f>
        <v>#DIV/0!</v>
      </c>
      <c r="AD22" s="82" t="e">
        <f>STDEV(D22,K22,R22)</f>
        <v>#DIV/0!</v>
      </c>
      <c r="AE22" s="82" t="e">
        <f>STDEV(E22,L22,S22)</f>
        <v>#DIV/0!</v>
      </c>
      <c r="AF22" s="83" t="e">
        <f t="shared" ref="AF22:AF24" si="8">STDEV(G22,N22,U22)</f>
        <v>#DIV/0!</v>
      </c>
    </row>
    <row r="23" spans="1:32" ht="214" customHeight="1" x14ac:dyDescent="0.2">
      <c r="A23" s="16" t="s">
        <v>72</v>
      </c>
      <c r="B23" s="45">
        <v>2</v>
      </c>
      <c r="C23" s="46">
        <v>6</v>
      </c>
      <c r="D23" s="46">
        <v>0</v>
      </c>
      <c r="E23" s="46">
        <v>1</v>
      </c>
      <c r="F23" s="60">
        <v>2</v>
      </c>
      <c r="G23" s="49">
        <v>6</v>
      </c>
      <c r="H23" s="15" t="s">
        <v>182</v>
      </c>
      <c r="I23" s="45"/>
      <c r="J23" s="46"/>
      <c r="K23" s="46"/>
      <c r="L23" s="46"/>
      <c r="M23" s="60"/>
      <c r="N23" s="49"/>
      <c r="O23" s="15"/>
      <c r="P23" s="45"/>
      <c r="Q23" s="46"/>
      <c r="R23" s="46"/>
      <c r="S23" s="46"/>
      <c r="T23" s="60"/>
      <c r="U23" s="49"/>
      <c r="V23" s="15"/>
      <c r="W23" s="81">
        <f>AVERAGE(B23,I23,P23)</f>
        <v>2</v>
      </c>
      <c r="X23" s="81">
        <f t="shared" si="5"/>
        <v>6</v>
      </c>
      <c r="Y23" s="81">
        <f t="shared" si="5"/>
        <v>0</v>
      </c>
      <c r="Z23" s="81">
        <f t="shared" si="5"/>
        <v>1</v>
      </c>
      <c r="AA23" s="81">
        <f t="shared" si="6"/>
        <v>6</v>
      </c>
      <c r="AB23" s="82" t="e">
        <f>STDEV(B23,I23,P23)</f>
        <v>#DIV/0!</v>
      </c>
      <c r="AC23" s="82" t="e">
        <f t="shared" si="7"/>
        <v>#DIV/0!</v>
      </c>
      <c r="AD23" s="82" t="e">
        <f t="shared" si="7"/>
        <v>#DIV/0!</v>
      </c>
      <c r="AE23" s="82" t="e">
        <f t="shared" si="7"/>
        <v>#DIV/0!</v>
      </c>
      <c r="AF23" s="83" t="e">
        <f t="shared" si="8"/>
        <v>#DIV/0!</v>
      </c>
    </row>
    <row r="24" spans="1:32" ht="156" customHeight="1" x14ac:dyDescent="0.2">
      <c r="A24" s="16" t="s">
        <v>24</v>
      </c>
      <c r="B24" s="45">
        <v>0</v>
      </c>
      <c r="C24" s="46">
        <v>5</v>
      </c>
      <c r="D24" s="46">
        <v>0</v>
      </c>
      <c r="E24" s="46">
        <v>1</v>
      </c>
      <c r="F24" s="60">
        <v>0</v>
      </c>
      <c r="G24" s="49">
        <v>1</v>
      </c>
      <c r="H24" s="178" t="s">
        <v>126</v>
      </c>
      <c r="I24" s="45"/>
      <c r="J24" s="46"/>
      <c r="K24" s="46"/>
      <c r="L24" s="46"/>
      <c r="M24" s="60"/>
      <c r="N24" s="49"/>
      <c r="O24" s="31"/>
      <c r="P24" s="45"/>
      <c r="Q24" s="46"/>
      <c r="R24" s="46"/>
      <c r="S24" s="46"/>
      <c r="T24" s="60"/>
      <c r="U24" s="49"/>
      <c r="V24" s="15"/>
      <c r="W24" s="81">
        <f>AVERAGE(B24,I24,P24)</f>
        <v>0</v>
      </c>
      <c r="X24" s="81">
        <f t="shared" si="5"/>
        <v>5</v>
      </c>
      <c r="Y24" s="81">
        <f>AVERAGE(D24,K24,R24)</f>
        <v>0</v>
      </c>
      <c r="Z24" s="81">
        <f>AVERAGE(E24,L24,S24)</f>
        <v>1</v>
      </c>
      <c r="AA24" s="81">
        <f t="shared" si="6"/>
        <v>1</v>
      </c>
      <c r="AB24" s="82" t="e">
        <f>STDEV(B24,I24,P24)</f>
        <v>#DIV/0!</v>
      </c>
      <c r="AC24" s="82" t="e">
        <f t="shared" si="7"/>
        <v>#DIV/0!</v>
      </c>
      <c r="AD24" s="82" t="e">
        <f>STDEV(D24,K24,R24)</f>
        <v>#DIV/0!</v>
      </c>
      <c r="AE24" s="82" t="e">
        <f>STDEV(E24,L24,S24)</f>
        <v>#DIV/0!</v>
      </c>
      <c r="AF24" s="83" t="e">
        <f t="shared" si="8"/>
        <v>#DIV/0!</v>
      </c>
    </row>
    <row r="25" spans="1:32" ht="345" customHeight="1" thickBot="1" x14ac:dyDescent="0.25">
      <c r="A25" s="17" t="s">
        <v>25</v>
      </c>
      <c r="B25" s="53">
        <v>1</v>
      </c>
      <c r="C25" s="54">
        <v>8</v>
      </c>
      <c r="D25" s="54">
        <v>0</v>
      </c>
      <c r="E25" s="54">
        <v>1</v>
      </c>
      <c r="F25" s="64">
        <v>1</v>
      </c>
      <c r="G25" s="55">
        <v>4</v>
      </c>
      <c r="H25" s="19" t="s">
        <v>183</v>
      </c>
      <c r="I25" s="53"/>
      <c r="J25" s="54"/>
      <c r="K25" s="54"/>
      <c r="L25" s="54"/>
      <c r="M25" s="64"/>
      <c r="N25" s="55"/>
      <c r="O25" s="40"/>
      <c r="P25" s="53"/>
      <c r="Q25" s="54"/>
      <c r="R25" s="54"/>
      <c r="S25" s="54"/>
      <c r="T25" s="64"/>
      <c r="U25" s="55"/>
      <c r="V25" s="28"/>
      <c r="W25" s="87">
        <f>AVERAGE(B25,I32,P25)</f>
        <v>1</v>
      </c>
      <c r="X25" s="87">
        <f>AVERAGE(C25,J32,Q25)</f>
        <v>8</v>
      </c>
      <c r="Y25" s="87">
        <f>AVERAGE(D25,K32,R25)</f>
        <v>0</v>
      </c>
      <c r="Z25" s="87">
        <f>AVERAGE(E25,L32,S25)</f>
        <v>1</v>
      </c>
      <c r="AA25" s="87">
        <f>AVERAGE(G25,N32,U25)</f>
        <v>4</v>
      </c>
      <c r="AB25" s="84" t="e">
        <f>STDEV(B25,I32,P25)</f>
        <v>#DIV/0!</v>
      </c>
      <c r="AC25" s="84" t="e">
        <f>STDEV(C25,J32,Q25)</f>
        <v>#DIV/0!</v>
      </c>
      <c r="AD25" s="84" t="e">
        <f>STDEV(D25,K32,R25)</f>
        <v>#DIV/0!</v>
      </c>
      <c r="AE25" s="84" t="e">
        <f>STDEV(E25,L32,S25)</f>
        <v>#DIV/0!</v>
      </c>
      <c r="AF25" s="85" t="e">
        <f>STDEV(G25,N32,U25)</f>
        <v>#DIV/0!</v>
      </c>
    </row>
    <row r="29" spans="1:32" ht="17" thickBot="1" x14ac:dyDescent="0.25"/>
    <row r="30" spans="1:32" ht="23" thickBot="1" x14ac:dyDescent="0.25">
      <c r="B30" s="184" t="s">
        <v>14</v>
      </c>
      <c r="C30" s="185"/>
      <c r="D30" s="185"/>
      <c r="E30" s="185"/>
      <c r="F30" s="185"/>
      <c r="G30" s="185"/>
      <c r="H30" s="186"/>
      <c r="I30" s="184" t="s">
        <v>15</v>
      </c>
      <c r="J30" s="185"/>
      <c r="K30" s="185"/>
      <c r="L30" s="185"/>
      <c r="M30" s="185"/>
      <c r="N30" s="185"/>
      <c r="O30" s="186"/>
      <c r="P30" s="187" t="s">
        <v>16</v>
      </c>
      <c r="Q30" s="188"/>
      <c r="R30" s="188"/>
      <c r="S30" s="188"/>
      <c r="T30" s="188"/>
      <c r="U30" s="188"/>
      <c r="V30" s="189"/>
      <c r="W30" s="187" t="s">
        <v>17</v>
      </c>
      <c r="X30" s="188"/>
      <c r="Y30" s="188"/>
      <c r="Z30" s="188"/>
      <c r="AA30" s="189"/>
      <c r="AB30" s="187" t="s">
        <v>18</v>
      </c>
      <c r="AC30" s="188"/>
      <c r="AD30" s="188"/>
      <c r="AE30" s="188"/>
      <c r="AF30" s="189"/>
    </row>
    <row r="31" spans="1:32" ht="22" x14ac:dyDescent="0.3">
      <c r="A31" s="9" t="s">
        <v>5</v>
      </c>
      <c r="B31" s="5" t="s">
        <v>7</v>
      </c>
      <c r="C31" s="6" t="s">
        <v>21</v>
      </c>
      <c r="D31" s="6" t="s">
        <v>9</v>
      </c>
      <c r="E31" s="6" t="s">
        <v>10</v>
      </c>
      <c r="F31" s="176" t="s">
        <v>100</v>
      </c>
      <c r="G31" s="7" t="s">
        <v>13</v>
      </c>
      <c r="H31" s="14" t="s">
        <v>22</v>
      </c>
      <c r="I31" s="33" t="s">
        <v>7</v>
      </c>
      <c r="J31" s="12" t="s">
        <v>21</v>
      </c>
      <c r="K31" s="12" t="s">
        <v>9</v>
      </c>
      <c r="L31" s="12" t="s">
        <v>10</v>
      </c>
      <c r="M31" s="35" t="s">
        <v>100</v>
      </c>
      <c r="N31" s="35" t="s">
        <v>13</v>
      </c>
      <c r="O31" s="37" t="s">
        <v>22</v>
      </c>
      <c r="P31" s="36" t="s">
        <v>7</v>
      </c>
      <c r="Q31" s="2" t="s">
        <v>21</v>
      </c>
      <c r="R31" s="2" t="s">
        <v>9</v>
      </c>
      <c r="S31" s="2" t="s">
        <v>10</v>
      </c>
      <c r="T31" s="18" t="s">
        <v>100</v>
      </c>
      <c r="U31" s="4" t="s">
        <v>13</v>
      </c>
      <c r="V31" s="18" t="s">
        <v>22</v>
      </c>
      <c r="W31" s="10" t="s">
        <v>7</v>
      </c>
      <c r="X31" s="25" t="s">
        <v>21</v>
      </c>
      <c r="Y31" s="11" t="s">
        <v>9</v>
      </c>
      <c r="Z31" s="11" t="s">
        <v>10</v>
      </c>
      <c r="AA31" s="13" t="s">
        <v>13</v>
      </c>
      <c r="AB31" s="10" t="s">
        <v>7</v>
      </c>
      <c r="AC31" s="11" t="s">
        <v>21</v>
      </c>
      <c r="AD31" s="11" t="s">
        <v>9</v>
      </c>
      <c r="AE31" s="11" t="s">
        <v>10</v>
      </c>
      <c r="AF31" s="13" t="s">
        <v>13</v>
      </c>
    </row>
    <row r="32" spans="1:32" ht="77" customHeight="1" x14ac:dyDescent="0.2">
      <c r="A32" s="23" t="s">
        <v>26</v>
      </c>
      <c r="B32" s="56">
        <v>0</v>
      </c>
      <c r="C32" s="47">
        <v>5</v>
      </c>
      <c r="D32" s="47">
        <v>0</v>
      </c>
      <c r="E32" s="47">
        <v>1</v>
      </c>
      <c r="F32" s="119">
        <v>0</v>
      </c>
      <c r="G32" s="48">
        <v>2</v>
      </c>
      <c r="H32" s="15" t="s">
        <v>125</v>
      </c>
      <c r="I32" s="45"/>
      <c r="J32" s="46"/>
      <c r="K32" s="46"/>
      <c r="L32" s="46"/>
      <c r="M32" s="60"/>
      <c r="N32" s="60"/>
      <c r="O32" s="23"/>
      <c r="P32" s="65"/>
      <c r="Q32" s="46"/>
      <c r="R32" s="46"/>
      <c r="S32" s="46"/>
      <c r="T32" s="60"/>
      <c r="U32" s="49"/>
      <c r="V32" s="27"/>
      <c r="W32" s="81">
        <f>AVERAGE(B32,I32,P32)</f>
        <v>0</v>
      </c>
      <c r="X32" s="81">
        <f>AVERAGE(C32,J32,Q32)</f>
        <v>5</v>
      </c>
      <c r="Y32" s="81">
        <f>AVERAGE(D32,K32,R32)</f>
        <v>0</v>
      </c>
      <c r="Z32" s="81">
        <f>AVERAGE(E32,L32,S32)</f>
        <v>1</v>
      </c>
      <c r="AA32" s="81">
        <f>AVERAGE(G32,N32,U32)</f>
        <v>2</v>
      </c>
      <c r="AB32" s="82" t="e">
        <f>STDEV(B32,I32,P32)</f>
        <v>#DIV/0!</v>
      </c>
      <c r="AC32" s="82" t="e">
        <f>STDEV(C32,J32,Q32)</f>
        <v>#DIV/0!</v>
      </c>
      <c r="AD32" s="82" t="e">
        <f>STDEV(D32,K32,R32)</f>
        <v>#DIV/0!</v>
      </c>
      <c r="AE32" s="82" t="e">
        <f>STDEV(E32,L32,S32)</f>
        <v>#DIV/0!</v>
      </c>
      <c r="AF32" s="82" t="e">
        <f>STDEV(G32,N32,U32)</f>
        <v>#DIV/0!</v>
      </c>
    </row>
    <row r="33" spans="1:32" ht="100" customHeight="1" x14ac:dyDescent="0.2">
      <c r="A33" s="23" t="s">
        <v>73</v>
      </c>
      <c r="B33" s="56">
        <v>0</v>
      </c>
      <c r="C33" s="47">
        <v>5</v>
      </c>
      <c r="D33" s="47">
        <v>0</v>
      </c>
      <c r="E33" s="47">
        <v>1</v>
      </c>
      <c r="F33" s="119">
        <v>0</v>
      </c>
      <c r="G33" s="48">
        <v>1</v>
      </c>
      <c r="H33" s="15" t="s">
        <v>124</v>
      </c>
      <c r="I33" s="61"/>
      <c r="J33" s="62"/>
      <c r="K33" s="62"/>
      <c r="L33" s="62"/>
      <c r="M33" s="63"/>
      <c r="N33" s="63"/>
      <c r="O33" s="38"/>
      <c r="P33" s="65"/>
      <c r="Q33" s="46"/>
      <c r="R33" s="46"/>
      <c r="S33" s="46"/>
      <c r="T33" s="60"/>
      <c r="U33" s="49"/>
      <c r="V33" s="27"/>
      <c r="W33" s="81">
        <f>AVERAGE(B33,I33,P33)</f>
        <v>0</v>
      </c>
      <c r="X33" s="81">
        <f t="shared" ref="X33:Z35" si="9">AVERAGE(C33,J33,Q33)</f>
        <v>5</v>
      </c>
      <c r="Y33" s="81">
        <f t="shared" si="9"/>
        <v>0</v>
      </c>
      <c r="Z33" s="81">
        <f t="shared" si="9"/>
        <v>1</v>
      </c>
      <c r="AA33" s="81">
        <f t="shared" ref="AA33:AA35" si="10">AVERAGE(G33,N33,U33)</f>
        <v>1</v>
      </c>
      <c r="AB33" s="82" t="e">
        <f>STDEV(B33,I33,P33)</f>
        <v>#DIV/0!</v>
      </c>
      <c r="AC33" s="82" t="e">
        <f t="shared" ref="AC33:AE35" si="11">STDEV(C33,J33,Q33)</f>
        <v>#DIV/0!</v>
      </c>
      <c r="AD33" s="82" t="e">
        <f t="shared" si="11"/>
        <v>#DIV/0!</v>
      </c>
      <c r="AE33" s="82" t="e">
        <f t="shared" si="11"/>
        <v>#DIV/0!</v>
      </c>
      <c r="AF33" s="82" t="e">
        <f t="shared" ref="AF33:AF35" si="12">STDEV(G33,N33,U33)</f>
        <v>#DIV/0!</v>
      </c>
    </row>
    <row r="34" spans="1:32" ht="106" customHeight="1" x14ac:dyDescent="0.2">
      <c r="A34" s="23" t="s">
        <v>43</v>
      </c>
      <c r="B34" s="56"/>
      <c r="C34" s="47"/>
      <c r="D34" s="47"/>
      <c r="E34" s="47"/>
      <c r="F34" s="119"/>
      <c r="G34" s="48"/>
      <c r="H34" s="15"/>
      <c r="I34" s="61"/>
      <c r="J34" s="62"/>
      <c r="K34" s="62"/>
      <c r="L34" s="62"/>
      <c r="M34" s="63"/>
      <c r="N34" s="63"/>
      <c r="O34" s="38"/>
      <c r="P34" s="65"/>
      <c r="Q34" s="46"/>
      <c r="R34" s="46"/>
      <c r="S34" s="46"/>
      <c r="T34" s="60"/>
      <c r="U34" s="49"/>
      <c r="V34" s="27"/>
      <c r="W34" s="81" t="e">
        <f>AVERAGE(B34,I34,P34)</f>
        <v>#DIV/0!</v>
      </c>
      <c r="X34" s="81" t="e">
        <f t="shared" si="9"/>
        <v>#DIV/0!</v>
      </c>
      <c r="Y34" s="81" t="e">
        <f>AVERAGE(D34,K34,R34)</f>
        <v>#DIV/0!</v>
      </c>
      <c r="Z34" s="81" t="e">
        <f>AVERAGE(E34,L34,S34)</f>
        <v>#DIV/0!</v>
      </c>
      <c r="AA34" s="81" t="e">
        <f t="shared" si="10"/>
        <v>#DIV/0!</v>
      </c>
      <c r="AB34" s="82" t="e">
        <f>STDEV(B34,I34,P34)</f>
        <v>#DIV/0!</v>
      </c>
      <c r="AC34" s="82" t="e">
        <f t="shared" si="11"/>
        <v>#DIV/0!</v>
      </c>
      <c r="AD34" s="82" t="e">
        <f>STDEV(D34,K34,R34)</f>
        <v>#DIV/0!</v>
      </c>
      <c r="AE34" s="82" t="e">
        <f>STDEV(E34,L34,S34)</f>
        <v>#DIV/0!</v>
      </c>
      <c r="AF34" s="83" t="e">
        <f t="shared" si="12"/>
        <v>#DIV/0!</v>
      </c>
    </row>
    <row r="35" spans="1:32" ht="128" customHeight="1" thickBot="1" x14ac:dyDescent="0.25">
      <c r="A35" s="23" t="s">
        <v>27</v>
      </c>
      <c r="B35" s="57"/>
      <c r="C35" s="58"/>
      <c r="D35" s="58"/>
      <c r="E35" s="58"/>
      <c r="F35" s="120"/>
      <c r="G35" s="59"/>
      <c r="H35" s="19"/>
      <c r="I35" s="53"/>
      <c r="J35" s="54"/>
      <c r="K35" s="54"/>
      <c r="L35" s="54"/>
      <c r="M35" s="64"/>
      <c r="N35" s="64"/>
      <c r="O35" s="39"/>
      <c r="P35" s="66"/>
      <c r="Q35" s="54"/>
      <c r="R35" s="54"/>
      <c r="S35" s="54"/>
      <c r="T35" s="64"/>
      <c r="U35" s="55"/>
      <c r="V35" s="19"/>
      <c r="W35" s="87" t="e">
        <f>AVERAGE(B35,I35,P35)</f>
        <v>#DIV/0!</v>
      </c>
      <c r="X35" s="87" t="e">
        <f t="shared" si="9"/>
        <v>#DIV/0!</v>
      </c>
      <c r="Y35" s="87" t="e">
        <f>AVERAGE(D35,K35,R35)</f>
        <v>#DIV/0!</v>
      </c>
      <c r="Z35" s="87" t="e">
        <f>AVERAGE(E35,L35,S35)</f>
        <v>#DIV/0!</v>
      </c>
      <c r="AA35" s="87" t="e">
        <f t="shared" si="10"/>
        <v>#DIV/0!</v>
      </c>
      <c r="AB35" s="84" t="e">
        <f>STDEV(B35,I35,P35)</f>
        <v>#DIV/0!</v>
      </c>
      <c r="AC35" s="84" t="e">
        <f t="shared" si="11"/>
        <v>#DIV/0!</v>
      </c>
      <c r="AD35" s="84" t="e">
        <f>STDEV(D35,K35,R35)</f>
        <v>#DIV/0!</v>
      </c>
      <c r="AE35" s="84" t="e">
        <f>STDEV(E35,L35,S35)</f>
        <v>#DIV/0!</v>
      </c>
      <c r="AF35" s="85" t="e">
        <f t="shared" si="12"/>
        <v>#DIV/0!</v>
      </c>
    </row>
    <row r="42" spans="1:32" ht="63" x14ac:dyDescent="0.2">
      <c r="A42" s="195" t="s">
        <v>118</v>
      </c>
      <c r="B42" s="195"/>
      <c r="C42" s="195"/>
      <c r="D42" s="195"/>
      <c r="E42" s="195"/>
      <c r="F42" s="195"/>
      <c r="G42" s="195"/>
      <c r="H42" s="195"/>
      <c r="I42" s="195"/>
      <c r="J42" s="195"/>
      <c r="K42" s="195"/>
      <c r="L42" s="195"/>
      <c r="M42" s="195"/>
      <c r="N42" s="195"/>
      <c r="O42" s="195"/>
      <c r="P42" s="195"/>
      <c r="Q42" s="195"/>
      <c r="R42" s="195"/>
      <c r="S42" s="195"/>
      <c r="T42" s="195"/>
      <c r="U42" s="195"/>
      <c r="V42" s="195"/>
      <c r="W42" s="195"/>
      <c r="X42" s="195"/>
      <c r="Y42" s="195"/>
      <c r="Z42" s="195"/>
      <c r="AA42" s="195"/>
      <c r="AB42" s="195"/>
      <c r="AC42" s="195"/>
      <c r="AD42" s="195"/>
      <c r="AE42" s="195"/>
      <c r="AF42" s="195"/>
    </row>
    <row r="43" spans="1:32" ht="17" thickBot="1" x14ac:dyDescent="0.25"/>
    <row r="44" spans="1:32" ht="23" thickBot="1" x14ac:dyDescent="0.25">
      <c r="B44" s="184" t="s">
        <v>14</v>
      </c>
      <c r="C44" s="185"/>
      <c r="D44" s="185"/>
      <c r="E44" s="185"/>
      <c r="F44" s="185"/>
      <c r="G44" s="185"/>
      <c r="H44" s="186"/>
      <c r="I44" s="184" t="s">
        <v>15</v>
      </c>
      <c r="J44" s="185"/>
      <c r="K44" s="185"/>
      <c r="L44" s="185"/>
      <c r="M44" s="185"/>
      <c r="N44" s="185"/>
      <c r="O44" s="186"/>
      <c r="P44" s="187" t="s">
        <v>16</v>
      </c>
      <c r="Q44" s="188"/>
      <c r="R44" s="188"/>
      <c r="S44" s="188"/>
      <c r="T44" s="188"/>
      <c r="U44" s="188"/>
      <c r="V44" s="189"/>
      <c r="W44" s="187" t="s">
        <v>17</v>
      </c>
      <c r="X44" s="188"/>
      <c r="Y44" s="188"/>
      <c r="Z44" s="188"/>
      <c r="AA44" s="189"/>
      <c r="AB44" s="187" t="s">
        <v>18</v>
      </c>
      <c r="AC44" s="188"/>
      <c r="AD44" s="188"/>
      <c r="AE44" s="188"/>
      <c r="AF44" s="189"/>
    </row>
    <row r="45" spans="1:32" ht="23" thickBot="1" x14ac:dyDescent="0.35">
      <c r="A45" s="95" t="s">
        <v>5</v>
      </c>
      <c r="B45" s="96" t="s">
        <v>7</v>
      </c>
      <c r="C45" s="97" t="s">
        <v>21</v>
      </c>
      <c r="D45" s="97" t="s">
        <v>9</v>
      </c>
      <c r="E45" s="97" t="s">
        <v>10</v>
      </c>
      <c r="F45" s="121" t="s">
        <v>100</v>
      </c>
      <c r="G45" s="98" t="s">
        <v>101</v>
      </c>
      <c r="H45" s="99" t="s">
        <v>22</v>
      </c>
      <c r="I45" s="96" t="s">
        <v>7</v>
      </c>
      <c r="J45" s="97" t="s">
        <v>21</v>
      </c>
      <c r="K45" s="97" t="s">
        <v>9</v>
      </c>
      <c r="L45" s="97" t="s">
        <v>10</v>
      </c>
      <c r="M45" s="121" t="s">
        <v>100</v>
      </c>
      <c r="N45" s="98" t="s">
        <v>101</v>
      </c>
      <c r="O45" s="108" t="s">
        <v>22</v>
      </c>
      <c r="P45" s="101" t="s">
        <v>7</v>
      </c>
      <c r="Q45" s="102" t="s">
        <v>21</v>
      </c>
      <c r="R45" s="102" t="s">
        <v>9</v>
      </c>
      <c r="S45" s="102" t="s">
        <v>10</v>
      </c>
      <c r="T45" s="104" t="s">
        <v>100</v>
      </c>
      <c r="U45" s="103" t="s">
        <v>101</v>
      </c>
      <c r="V45" s="104" t="s">
        <v>22</v>
      </c>
      <c r="W45" s="101" t="s">
        <v>7</v>
      </c>
      <c r="X45" s="105" t="s">
        <v>21</v>
      </c>
      <c r="Y45" s="102" t="s">
        <v>9</v>
      </c>
      <c r="Z45" s="102" t="s">
        <v>10</v>
      </c>
      <c r="AA45" s="103" t="s">
        <v>13</v>
      </c>
      <c r="AB45" s="101" t="s">
        <v>7</v>
      </c>
      <c r="AC45" s="102" t="s">
        <v>21</v>
      </c>
      <c r="AD45" s="102" t="s">
        <v>9</v>
      </c>
      <c r="AE45" s="102" t="s">
        <v>10</v>
      </c>
      <c r="AF45" s="103" t="s">
        <v>13</v>
      </c>
    </row>
    <row r="46" spans="1:32" ht="67" customHeight="1" x14ac:dyDescent="0.2">
      <c r="A46" s="106" t="s">
        <v>79</v>
      </c>
      <c r="B46" s="61"/>
      <c r="C46" s="62"/>
      <c r="D46" s="62"/>
      <c r="E46" s="62"/>
      <c r="F46" s="63"/>
      <c r="G46" s="90"/>
      <c r="H46" s="91"/>
      <c r="I46" s="61"/>
      <c r="J46" s="62"/>
      <c r="K46" s="62"/>
      <c r="L46" s="62"/>
      <c r="M46" s="63"/>
      <c r="N46" s="90"/>
      <c r="O46" s="91"/>
      <c r="P46" s="61"/>
      <c r="Q46" s="62"/>
      <c r="R46" s="62"/>
      <c r="S46" s="62"/>
      <c r="T46" s="63"/>
      <c r="U46" s="90"/>
      <c r="V46" s="107"/>
      <c r="W46" s="93" t="e">
        <f>AVERAGE(B46,I46,P46)</f>
        <v>#DIV/0!</v>
      </c>
      <c r="X46" s="93" t="e">
        <f t="shared" ref="X46:Z49" si="13">AVERAGE(C46,J46,Q46)</f>
        <v>#DIV/0!</v>
      </c>
      <c r="Y46" s="93" t="e">
        <f t="shared" si="13"/>
        <v>#DIV/0!</v>
      </c>
      <c r="Z46" s="93" t="e">
        <f t="shared" si="13"/>
        <v>#DIV/0!</v>
      </c>
      <c r="AA46" s="94" t="e">
        <f t="shared" ref="AA46:AA49" si="14">AVERAGE(G46,N46,U46)</f>
        <v>#DIV/0!</v>
      </c>
      <c r="AB46" s="82" t="e">
        <f>STDEV(B46,I46,P46)</f>
        <v>#DIV/0!</v>
      </c>
      <c r="AC46" s="82" t="e">
        <f t="shared" ref="AC46:AD49" si="15">STDEV(C46,J46,Q46)</f>
        <v>#DIV/0!</v>
      </c>
      <c r="AD46" s="82" t="e">
        <f>STDEV(D46,K46,R46)</f>
        <v>#DIV/0!</v>
      </c>
      <c r="AE46" s="82" t="e">
        <f t="shared" ref="AE46:AE49" si="16">STDEV(E46,L46,S46)</f>
        <v>#DIV/0!</v>
      </c>
      <c r="AF46" s="83" t="e">
        <f t="shared" ref="AF46:AF49" si="17">STDEV(G46,N46,U46)</f>
        <v>#DIV/0!</v>
      </c>
    </row>
    <row r="47" spans="1:32" ht="78" customHeight="1" x14ac:dyDescent="0.2">
      <c r="A47" s="24" t="s">
        <v>86</v>
      </c>
      <c r="B47" s="45">
        <v>0</v>
      </c>
      <c r="C47" s="46">
        <v>5</v>
      </c>
      <c r="D47" s="67">
        <v>0</v>
      </c>
      <c r="E47" s="46">
        <v>1</v>
      </c>
      <c r="F47" s="60">
        <v>0</v>
      </c>
      <c r="G47" s="49">
        <v>0</v>
      </c>
      <c r="H47" s="15"/>
      <c r="I47" s="45"/>
      <c r="J47" s="46"/>
      <c r="K47" s="46"/>
      <c r="L47" s="46"/>
      <c r="M47" s="60"/>
      <c r="N47" s="49"/>
      <c r="O47" s="15"/>
      <c r="P47" s="45"/>
      <c r="Q47" s="46"/>
      <c r="R47" s="46"/>
      <c r="S47" s="46"/>
      <c r="T47" s="60"/>
      <c r="U47" s="49"/>
      <c r="V47" s="27"/>
      <c r="W47" s="93">
        <f t="shared" ref="W47:W48" si="18">AVERAGE(B47,I47,P47)</f>
        <v>0</v>
      </c>
      <c r="X47" s="93">
        <f t="shared" si="13"/>
        <v>5</v>
      </c>
      <c r="Y47" s="93">
        <f t="shared" si="13"/>
        <v>0</v>
      </c>
      <c r="Z47" s="93">
        <f t="shared" si="13"/>
        <v>1</v>
      </c>
      <c r="AA47" s="94">
        <f t="shared" si="14"/>
        <v>0</v>
      </c>
      <c r="AB47" s="82" t="e">
        <f t="shared" ref="AB47:AB48" si="19">STDEV(B47,I47,P47)</f>
        <v>#DIV/0!</v>
      </c>
      <c r="AC47" s="82" t="e">
        <f t="shared" si="15"/>
        <v>#DIV/0!</v>
      </c>
      <c r="AD47" s="82" t="e">
        <f t="shared" si="15"/>
        <v>#DIV/0!</v>
      </c>
      <c r="AE47" s="82" t="e">
        <f t="shared" si="16"/>
        <v>#DIV/0!</v>
      </c>
      <c r="AF47" s="83" t="e">
        <f t="shared" si="17"/>
        <v>#DIV/0!</v>
      </c>
    </row>
    <row r="48" spans="1:32" ht="168" customHeight="1" x14ac:dyDescent="0.2">
      <c r="A48" s="72" t="s">
        <v>78</v>
      </c>
      <c r="B48" s="45">
        <v>3</v>
      </c>
      <c r="C48" s="46">
        <v>3</v>
      </c>
      <c r="D48" s="46">
        <v>0</v>
      </c>
      <c r="E48" s="46">
        <v>1</v>
      </c>
      <c r="F48" s="60">
        <v>0</v>
      </c>
      <c r="G48" s="49">
        <v>0</v>
      </c>
      <c r="H48" s="15" t="s">
        <v>141</v>
      </c>
      <c r="I48" s="45"/>
      <c r="J48" s="46"/>
      <c r="K48" s="46"/>
      <c r="L48" s="46"/>
      <c r="M48" s="60"/>
      <c r="N48" s="49"/>
      <c r="O48" s="15"/>
      <c r="P48" s="77"/>
      <c r="Q48" s="78"/>
      <c r="R48" s="78"/>
      <c r="S48" s="78"/>
      <c r="T48" s="177"/>
      <c r="U48" s="79"/>
      <c r="V48" s="80"/>
      <c r="W48" s="93">
        <f t="shared" si="18"/>
        <v>3</v>
      </c>
      <c r="X48" s="93">
        <f t="shared" si="13"/>
        <v>3</v>
      </c>
      <c r="Y48" s="93">
        <f t="shared" si="13"/>
        <v>0</v>
      </c>
      <c r="Z48" s="93">
        <f t="shared" si="13"/>
        <v>1</v>
      </c>
      <c r="AA48" s="94">
        <f t="shared" si="14"/>
        <v>0</v>
      </c>
      <c r="AB48" s="82" t="e">
        <f t="shared" si="19"/>
        <v>#DIV/0!</v>
      </c>
      <c r="AC48" s="82" t="e">
        <f t="shared" si="15"/>
        <v>#DIV/0!</v>
      </c>
      <c r="AD48" s="82" t="e">
        <f t="shared" si="15"/>
        <v>#DIV/0!</v>
      </c>
      <c r="AE48" s="82" t="e">
        <f t="shared" si="16"/>
        <v>#DIV/0!</v>
      </c>
      <c r="AF48" s="83" t="e">
        <f t="shared" si="17"/>
        <v>#DIV/0!</v>
      </c>
    </row>
    <row r="49" spans="1:32" ht="72" customHeight="1" thickBot="1" x14ac:dyDescent="0.25">
      <c r="A49" s="24" t="s">
        <v>34</v>
      </c>
      <c r="B49" s="53"/>
      <c r="C49" s="54"/>
      <c r="D49" s="54"/>
      <c r="E49" s="54"/>
      <c r="F49" s="64"/>
      <c r="G49" s="55"/>
      <c r="H49" s="19"/>
      <c r="I49" s="53"/>
      <c r="J49" s="54"/>
      <c r="K49" s="54"/>
      <c r="L49" s="54"/>
      <c r="M49" s="64"/>
      <c r="N49" s="55"/>
      <c r="O49" s="19"/>
      <c r="P49" s="53"/>
      <c r="Q49" s="54"/>
      <c r="R49" s="54"/>
      <c r="S49" s="54"/>
      <c r="T49" s="64"/>
      <c r="U49" s="55"/>
      <c r="V49" s="19"/>
      <c r="W49" s="87" t="e">
        <f>AVERAGE(B49,I49,P49)</f>
        <v>#DIV/0!</v>
      </c>
      <c r="X49" s="87" t="e">
        <f t="shared" si="13"/>
        <v>#DIV/0!</v>
      </c>
      <c r="Y49" s="87" t="e">
        <f t="shared" si="13"/>
        <v>#DIV/0!</v>
      </c>
      <c r="Z49" s="87" t="e">
        <f t="shared" si="13"/>
        <v>#DIV/0!</v>
      </c>
      <c r="AA49" s="88" t="e">
        <f t="shared" si="14"/>
        <v>#DIV/0!</v>
      </c>
      <c r="AB49" s="84" t="e">
        <f>STDEV(B49,I49,P49)</f>
        <v>#DIV/0!</v>
      </c>
      <c r="AC49" s="84" t="e">
        <f t="shared" si="15"/>
        <v>#DIV/0!</v>
      </c>
      <c r="AD49" s="84" t="e">
        <f>STDEV(D49,K49,R49)</f>
        <v>#DIV/0!</v>
      </c>
      <c r="AE49" s="84" t="e">
        <f t="shared" si="16"/>
        <v>#DIV/0!</v>
      </c>
      <c r="AF49" s="85" t="e">
        <f t="shared" si="17"/>
        <v>#DIV/0!</v>
      </c>
    </row>
    <row r="50" spans="1:32" x14ac:dyDescent="0.2">
      <c r="AB50" s="26"/>
    </row>
    <row r="52" spans="1:32" ht="17" thickBot="1" x14ac:dyDescent="0.25"/>
    <row r="53" spans="1:32" ht="23" thickBot="1" x14ac:dyDescent="0.25">
      <c r="B53" s="184" t="s">
        <v>14</v>
      </c>
      <c r="C53" s="185"/>
      <c r="D53" s="185"/>
      <c r="E53" s="185"/>
      <c r="F53" s="185"/>
      <c r="G53" s="185"/>
      <c r="H53" s="185"/>
      <c r="I53" s="196" t="s">
        <v>15</v>
      </c>
      <c r="J53" s="197"/>
      <c r="K53" s="197"/>
      <c r="L53" s="197"/>
      <c r="M53" s="197"/>
      <c r="N53" s="197"/>
      <c r="O53" s="186"/>
      <c r="P53" s="187" t="s">
        <v>16</v>
      </c>
      <c r="Q53" s="188"/>
      <c r="R53" s="188"/>
      <c r="S53" s="188"/>
      <c r="T53" s="188"/>
      <c r="U53" s="188"/>
      <c r="V53" s="189"/>
      <c r="W53" s="187" t="s">
        <v>17</v>
      </c>
      <c r="X53" s="188"/>
      <c r="Y53" s="188"/>
      <c r="Z53" s="188"/>
      <c r="AA53" s="189"/>
      <c r="AB53" s="187" t="s">
        <v>18</v>
      </c>
      <c r="AC53" s="188"/>
      <c r="AD53" s="188"/>
      <c r="AE53" s="188"/>
      <c r="AF53" s="189"/>
    </row>
    <row r="54" spans="1:32" ht="23" thickBot="1" x14ac:dyDescent="0.35">
      <c r="A54" s="95" t="s">
        <v>5</v>
      </c>
      <c r="B54" s="96" t="s">
        <v>7</v>
      </c>
      <c r="C54" s="97" t="s">
        <v>21</v>
      </c>
      <c r="D54" s="97" t="s">
        <v>9</v>
      </c>
      <c r="E54" s="97" t="s">
        <v>10</v>
      </c>
      <c r="F54" s="121" t="s">
        <v>100</v>
      </c>
      <c r="G54" s="98" t="s">
        <v>101</v>
      </c>
      <c r="H54" s="99" t="s">
        <v>22</v>
      </c>
      <c r="I54" s="96" t="s">
        <v>7</v>
      </c>
      <c r="J54" s="97" t="s">
        <v>21</v>
      </c>
      <c r="K54" s="97" t="s">
        <v>9</v>
      </c>
      <c r="L54" s="97" t="s">
        <v>10</v>
      </c>
      <c r="M54" s="121" t="s">
        <v>100</v>
      </c>
      <c r="N54" s="98" t="s">
        <v>101</v>
      </c>
      <c r="O54" s="100" t="s">
        <v>22</v>
      </c>
      <c r="P54" s="101" t="s">
        <v>7</v>
      </c>
      <c r="Q54" s="102" t="s">
        <v>21</v>
      </c>
      <c r="R54" s="102" t="s">
        <v>9</v>
      </c>
      <c r="S54" s="102" t="s">
        <v>10</v>
      </c>
      <c r="T54" s="104" t="s">
        <v>100</v>
      </c>
      <c r="U54" s="103" t="s">
        <v>101</v>
      </c>
      <c r="V54" s="104" t="s">
        <v>22</v>
      </c>
      <c r="W54" s="101" t="s">
        <v>7</v>
      </c>
      <c r="X54" s="105" t="s">
        <v>21</v>
      </c>
      <c r="Y54" s="102" t="s">
        <v>9</v>
      </c>
      <c r="Z54" s="102" t="s">
        <v>10</v>
      </c>
      <c r="AA54" s="103" t="s">
        <v>13</v>
      </c>
      <c r="AB54" s="101" t="s">
        <v>7</v>
      </c>
      <c r="AC54" s="102" t="s">
        <v>21</v>
      </c>
      <c r="AD54" s="102" t="s">
        <v>9</v>
      </c>
      <c r="AE54" s="102" t="s">
        <v>10</v>
      </c>
      <c r="AF54" s="103" t="s">
        <v>13</v>
      </c>
    </row>
    <row r="55" spans="1:32" ht="85" x14ac:dyDescent="0.2">
      <c r="A55" s="38" t="s">
        <v>35</v>
      </c>
      <c r="B55" s="89">
        <v>1</v>
      </c>
      <c r="C55" s="62">
        <v>11</v>
      </c>
      <c r="D55" s="62">
        <v>2</v>
      </c>
      <c r="E55" s="62">
        <v>1</v>
      </c>
      <c r="F55" s="63">
        <v>2</v>
      </c>
      <c r="G55" s="90">
        <v>2</v>
      </c>
      <c r="H55" s="91" t="s">
        <v>134</v>
      </c>
      <c r="I55" s="61"/>
      <c r="J55" s="62"/>
      <c r="K55" s="62"/>
      <c r="L55" s="62"/>
      <c r="M55" s="63"/>
      <c r="N55" s="90"/>
      <c r="O55" s="92"/>
      <c r="P55" s="61"/>
      <c r="Q55" s="62"/>
      <c r="R55" s="62"/>
      <c r="S55" s="62"/>
      <c r="T55" s="63"/>
      <c r="U55" s="90"/>
      <c r="V55" s="91"/>
      <c r="W55" s="93">
        <f>AVERAGE(B55,I55,P55)</f>
        <v>1</v>
      </c>
      <c r="X55" s="93">
        <f>AVERAGE(C55,J55,Q55)</f>
        <v>11</v>
      </c>
      <c r="Y55" s="93">
        <f>AVERAGE(D55,K55,R55)</f>
        <v>2</v>
      </c>
      <c r="Z55" s="93">
        <f>AVERAGE(E55,L55,S55)</f>
        <v>1</v>
      </c>
      <c r="AA55" s="94">
        <f>AVERAGE(G55,N55,U55)</f>
        <v>2</v>
      </c>
      <c r="AB55" s="82" t="e">
        <f>STDEV(B55,I55,P55)</f>
        <v>#DIV/0!</v>
      </c>
      <c r="AC55" s="82" t="e">
        <f>STDEV(C55,J55,Q55)</f>
        <v>#DIV/0!</v>
      </c>
      <c r="AD55" s="82" t="e">
        <f>STDEV(D55,K55,R55)</f>
        <v>#DIV/0!</v>
      </c>
      <c r="AE55" s="82" t="e">
        <f>STDEV(E55,L55,S55)</f>
        <v>#DIV/0!</v>
      </c>
      <c r="AF55" s="83" t="e">
        <f>STDEV(G55,N55,U55)</f>
        <v>#DIV/0!</v>
      </c>
    </row>
    <row r="56" spans="1:32" ht="51" x14ac:dyDescent="0.2">
      <c r="A56" s="23" t="s">
        <v>81</v>
      </c>
      <c r="B56" s="56"/>
      <c r="C56" s="46"/>
      <c r="D56" s="46"/>
      <c r="E56" s="46"/>
      <c r="F56" s="60"/>
      <c r="G56" s="49"/>
      <c r="H56" s="15"/>
      <c r="I56" s="45"/>
      <c r="J56" s="46"/>
      <c r="K56" s="46"/>
      <c r="L56" s="46"/>
      <c r="M56" s="60"/>
      <c r="N56" s="49"/>
      <c r="O56" s="31"/>
      <c r="P56" s="45"/>
      <c r="Q56" s="46"/>
      <c r="R56" s="46"/>
      <c r="S56" s="46"/>
      <c r="T56" s="60"/>
      <c r="U56" s="49"/>
      <c r="V56" s="31"/>
      <c r="W56" s="81" t="e">
        <f t="shared" ref="W56:Z58" si="20">AVERAGE(B56,I56,P56)</f>
        <v>#DIV/0!</v>
      </c>
      <c r="X56" s="81" t="e">
        <f t="shared" si="20"/>
        <v>#DIV/0!</v>
      </c>
      <c r="Y56" s="81" t="e">
        <f t="shared" si="20"/>
        <v>#DIV/0!</v>
      </c>
      <c r="Z56" s="81" t="e">
        <f t="shared" si="20"/>
        <v>#DIV/0!</v>
      </c>
      <c r="AA56" s="86" t="e">
        <f t="shared" ref="AA56:AA58" si="21">AVERAGE(G56,N56,U56)</f>
        <v>#DIV/0!</v>
      </c>
      <c r="AB56" s="82" t="e">
        <f t="shared" ref="AB56:AE58" si="22">STDEV(B56,I56,P56)</f>
        <v>#DIV/0!</v>
      </c>
      <c r="AC56" s="82" t="e">
        <f t="shared" si="22"/>
        <v>#DIV/0!</v>
      </c>
      <c r="AD56" s="82" t="e">
        <f t="shared" si="22"/>
        <v>#DIV/0!</v>
      </c>
      <c r="AE56" s="82" t="e">
        <f t="shared" si="22"/>
        <v>#DIV/0!</v>
      </c>
      <c r="AF56" s="83" t="e">
        <f t="shared" ref="AF56:AF58" si="23">STDEV(G56,N56,U56)</f>
        <v>#DIV/0!</v>
      </c>
    </row>
    <row r="57" spans="1:32" ht="51" x14ac:dyDescent="0.2">
      <c r="A57" s="23" t="s">
        <v>80</v>
      </c>
      <c r="B57" s="56"/>
      <c r="C57" s="46"/>
      <c r="D57" s="46"/>
      <c r="E57" s="46"/>
      <c r="F57" s="60"/>
      <c r="G57" s="49"/>
      <c r="H57" s="15"/>
      <c r="I57" s="45"/>
      <c r="J57" s="46"/>
      <c r="K57" s="46"/>
      <c r="L57" s="46"/>
      <c r="M57" s="60"/>
      <c r="N57" s="49"/>
      <c r="O57" s="31"/>
      <c r="P57" s="45"/>
      <c r="Q57" s="46"/>
      <c r="R57" s="46"/>
      <c r="S57" s="46"/>
      <c r="T57" s="60"/>
      <c r="U57" s="49"/>
      <c r="V57" s="15"/>
      <c r="W57" s="81" t="e">
        <f>AVERAGE(B57,I57,P57)</f>
        <v>#DIV/0!</v>
      </c>
      <c r="X57" s="81" t="e">
        <f t="shared" si="20"/>
        <v>#DIV/0!</v>
      </c>
      <c r="Y57" s="81" t="e">
        <f t="shared" si="20"/>
        <v>#DIV/0!</v>
      </c>
      <c r="Z57" s="81" t="e">
        <f t="shared" si="20"/>
        <v>#DIV/0!</v>
      </c>
      <c r="AA57" s="86" t="e">
        <f t="shared" si="21"/>
        <v>#DIV/0!</v>
      </c>
      <c r="AB57" s="82" t="e">
        <f t="shared" si="22"/>
        <v>#DIV/0!</v>
      </c>
      <c r="AC57" s="82" t="e">
        <f t="shared" si="22"/>
        <v>#DIV/0!</v>
      </c>
      <c r="AD57" s="82" t="e">
        <f t="shared" si="22"/>
        <v>#DIV/0!</v>
      </c>
      <c r="AE57" s="82" t="e">
        <f t="shared" si="22"/>
        <v>#DIV/0!</v>
      </c>
      <c r="AF57" s="83" t="e">
        <f t="shared" si="23"/>
        <v>#DIV/0!</v>
      </c>
    </row>
    <row r="58" spans="1:32" ht="52" thickBot="1" x14ac:dyDescent="0.25">
      <c r="A58" s="23" t="s">
        <v>33</v>
      </c>
      <c r="B58" s="53"/>
      <c r="C58" s="54"/>
      <c r="D58" s="54"/>
      <c r="E58" s="54"/>
      <c r="F58" s="64"/>
      <c r="G58" s="55"/>
      <c r="H58" s="19"/>
      <c r="I58" s="53"/>
      <c r="J58" s="54"/>
      <c r="K58" s="54"/>
      <c r="L58" s="54"/>
      <c r="M58" s="64"/>
      <c r="N58" s="55"/>
      <c r="O58" s="44"/>
      <c r="P58" s="53"/>
      <c r="Q58" s="54"/>
      <c r="R58" s="54"/>
      <c r="S58" s="54"/>
      <c r="T58" s="64"/>
      <c r="U58" s="55"/>
      <c r="V58" s="19"/>
      <c r="W58" s="87" t="e">
        <f t="shared" si="20"/>
        <v>#DIV/0!</v>
      </c>
      <c r="X58" s="87" t="e">
        <f t="shared" si="20"/>
        <v>#DIV/0!</v>
      </c>
      <c r="Y58" s="87" t="e">
        <f t="shared" si="20"/>
        <v>#DIV/0!</v>
      </c>
      <c r="Z58" s="87" t="e">
        <f t="shared" si="20"/>
        <v>#DIV/0!</v>
      </c>
      <c r="AA58" s="88" t="e">
        <f t="shared" si="21"/>
        <v>#DIV/0!</v>
      </c>
      <c r="AB58" s="84" t="e">
        <f>STDEV(B58,I58,P58)</f>
        <v>#DIV/0!</v>
      </c>
      <c r="AC58" s="84" t="e">
        <f t="shared" si="22"/>
        <v>#DIV/0!</v>
      </c>
      <c r="AD58" s="84" t="e">
        <f t="shared" si="22"/>
        <v>#DIV/0!</v>
      </c>
      <c r="AE58" s="84" t="e">
        <f t="shared" si="22"/>
        <v>#DIV/0!</v>
      </c>
      <c r="AF58" s="85" t="e">
        <f t="shared" si="23"/>
        <v>#DIV/0!</v>
      </c>
    </row>
    <row r="62" spans="1:32" ht="17" thickBot="1" x14ac:dyDescent="0.25"/>
    <row r="63" spans="1:32" ht="23" thickBot="1" x14ac:dyDescent="0.25">
      <c r="B63" s="184" t="s">
        <v>14</v>
      </c>
      <c r="C63" s="185"/>
      <c r="D63" s="185"/>
      <c r="E63" s="185"/>
      <c r="F63" s="185"/>
      <c r="G63" s="185"/>
      <c r="H63" s="186"/>
      <c r="I63" s="184" t="s">
        <v>15</v>
      </c>
      <c r="J63" s="185"/>
      <c r="K63" s="185"/>
      <c r="L63" s="185"/>
      <c r="M63" s="185"/>
      <c r="N63" s="185"/>
      <c r="O63" s="186"/>
      <c r="P63" s="187" t="s">
        <v>16</v>
      </c>
      <c r="Q63" s="188"/>
      <c r="R63" s="188"/>
      <c r="S63" s="188"/>
      <c r="T63" s="188"/>
      <c r="U63" s="188"/>
      <c r="V63" s="189"/>
      <c r="W63" s="187" t="s">
        <v>17</v>
      </c>
      <c r="X63" s="188"/>
      <c r="Y63" s="188"/>
      <c r="Z63" s="188"/>
      <c r="AA63" s="189"/>
      <c r="AB63" s="187" t="s">
        <v>18</v>
      </c>
      <c r="AC63" s="188"/>
      <c r="AD63" s="188"/>
      <c r="AE63" s="188"/>
      <c r="AF63" s="189"/>
    </row>
    <row r="64" spans="1:32" ht="22" x14ac:dyDescent="0.3">
      <c r="A64" s="9" t="s">
        <v>5</v>
      </c>
      <c r="B64" s="74" t="s">
        <v>7</v>
      </c>
      <c r="C64" s="6" t="s">
        <v>21</v>
      </c>
      <c r="D64" s="6" t="s">
        <v>9</v>
      </c>
      <c r="E64" s="6" t="s">
        <v>10</v>
      </c>
      <c r="F64" s="176" t="s">
        <v>100</v>
      </c>
      <c r="G64" s="7" t="s">
        <v>101</v>
      </c>
      <c r="H64" s="118" t="s">
        <v>22</v>
      </c>
      <c r="I64" s="117" t="s">
        <v>7</v>
      </c>
      <c r="J64" s="12" t="s">
        <v>21</v>
      </c>
      <c r="K64" s="12" t="s">
        <v>9</v>
      </c>
      <c r="L64" s="12" t="s">
        <v>10</v>
      </c>
      <c r="M64" s="35" t="s">
        <v>100</v>
      </c>
      <c r="N64" s="35" t="s">
        <v>101</v>
      </c>
      <c r="O64" s="37" t="s">
        <v>22</v>
      </c>
      <c r="P64" s="36" t="s">
        <v>7</v>
      </c>
      <c r="Q64" s="2" t="s">
        <v>21</v>
      </c>
      <c r="R64" s="2" t="s">
        <v>9</v>
      </c>
      <c r="S64" s="2" t="s">
        <v>10</v>
      </c>
      <c r="T64" s="18" t="s">
        <v>100</v>
      </c>
      <c r="U64" s="4" t="s">
        <v>101</v>
      </c>
      <c r="V64" s="18" t="s">
        <v>22</v>
      </c>
      <c r="W64" s="10" t="s">
        <v>7</v>
      </c>
      <c r="X64" s="25" t="s">
        <v>21</v>
      </c>
      <c r="Y64" s="11" t="s">
        <v>9</v>
      </c>
      <c r="Z64" s="11" t="s">
        <v>10</v>
      </c>
      <c r="AA64" s="13" t="s">
        <v>13</v>
      </c>
      <c r="AB64" s="10" t="s">
        <v>7</v>
      </c>
      <c r="AC64" s="11" t="s">
        <v>21</v>
      </c>
      <c r="AD64" s="11" t="s">
        <v>9</v>
      </c>
      <c r="AE64" s="11" t="s">
        <v>10</v>
      </c>
      <c r="AF64" s="13" t="s">
        <v>13</v>
      </c>
    </row>
    <row r="65" spans="1:32" ht="51" x14ac:dyDescent="0.2">
      <c r="A65" s="20" t="s">
        <v>84</v>
      </c>
      <c r="B65" s="75"/>
      <c r="C65" s="47"/>
      <c r="D65" s="47"/>
      <c r="E65" s="47"/>
      <c r="F65" s="119"/>
      <c r="G65" s="48"/>
      <c r="H65" s="23"/>
      <c r="I65" s="75"/>
      <c r="J65" s="47"/>
      <c r="K65" s="47"/>
      <c r="L65" s="47"/>
      <c r="M65" s="119"/>
      <c r="N65" s="48"/>
      <c r="O65" s="23"/>
      <c r="P65" s="65"/>
      <c r="Q65" s="46"/>
      <c r="R65" s="46"/>
      <c r="S65" s="46"/>
      <c r="T65" s="60"/>
      <c r="U65" s="49"/>
      <c r="V65" s="15"/>
      <c r="W65" s="111" t="e">
        <f>AVERAGE(B65,I65,P65)</f>
        <v>#DIV/0!</v>
      </c>
      <c r="X65" s="111" t="e">
        <f t="shared" ref="X65:Z68" si="24">AVERAGE(C65,J65,Q65)</f>
        <v>#DIV/0!</v>
      </c>
      <c r="Y65" s="111" t="e">
        <f t="shared" si="24"/>
        <v>#DIV/0!</v>
      </c>
      <c r="Z65" s="111" t="e">
        <f t="shared" si="24"/>
        <v>#DIV/0!</v>
      </c>
      <c r="AA65" s="112" t="e">
        <f t="shared" ref="AA65:AA68" si="25">AVERAGE(G65,N65,U65)</f>
        <v>#DIV/0!</v>
      </c>
      <c r="AB65" s="109" t="e">
        <f>STDEV(B65,I65,P65)</f>
        <v>#DIV/0!</v>
      </c>
      <c r="AC65" s="109" t="e">
        <f t="shared" ref="AC65:AE68" si="26">STDEV(C65,J65,Q65)</f>
        <v>#DIV/0!</v>
      </c>
      <c r="AD65" s="109" t="e">
        <f t="shared" si="26"/>
        <v>#DIV/0!</v>
      </c>
      <c r="AE65" s="109" t="e">
        <f t="shared" si="26"/>
        <v>#DIV/0!</v>
      </c>
      <c r="AF65" s="110" t="e">
        <f t="shared" ref="AF65:AF68" si="27">STDEV(G65,N65,U65)</f>
        <v>#DIV/0!</v>
      </c>
    </row>
    <row r="66" spans="1:32" ht="51" x14ac:dyDescent="0.2">
      <c r="A66" s="20" t="s">
        <v>83</v>
      </c>
      <c r="B66" s="73"/>
      <c r="C66" s="68"/>
      <c r="D66" s="68"/>
      <c r="E66" s="68"/>
      <c r="F66" s="122"/>
      <c r="G66" s="69"/>
      <c r="H66" s="43"/>
      <c r="I66" s="71"/>
      <c r="J66" s="51"/>
      <c r="K66" s="51"/>
      <c r="L66" s="51"/>
      <c r="M66" s="70"/>
      <c r="N66" s="70"/>
      <c r="O66" s="43"/>
      <c r="P66" s="73"/>
      <c r="Q66" s="68"/>
      <c r="R66" s="68"/>
      <c r="S66" s="68"/>
      <c r="T66" s="122"/>
      <c r="U66" s="69"/>
      <c r="V66" s="43"/>
      <c r="W66" s="111" t="e">
        <f t="shared" ref="W66:W68" si="28">AVERAGE(B66,I66,P66)</f>
        <v>#DIV/0!</v>
      </c>
      <c r="X66" s="111" t="e">
        <f t="shared" si="24"/>
        <v>#DIV/0!</v>
      </c>
      <c r="Y66" s="111" t="e">
        <f t="shared" si="24"/>
        <v>#DIV/0!</v>
      </c>
      <c r="Z66" s="111" t="e">
        <f t="shared" si="24"/>
        <v>#DIV/0!</v>
      </c>
      <c r="AA66" s="112" t="e">
        <f t="shared" si="25"/>
        <v>#DIV/0!</v>
      </c>
      <c r="AB66" s="109" t="e">
        <f t="shared" ref="AB66:AB68" si="29">STDEV(B66,I66,P66)</f>
        <v>#DIV/0!</v>
      </c>
      <c r="AC66" s="109" t="e">
        <f t="shared" si="26"/>
        <v>#DIV/0!</v>
      </c>
      <c r="AD66" s="109" t="e">
        <f t="shared" si="26"/>
        <v>#DIV/0!</v>
      </c>
      <c r="AE66" s="109" t="e">
        <f t="shared" si="26"/>
        <v>#DIV/0!</v>
      </c>
      <c r="AF66" s="110" t="e">
        <f t="shared" si="27"/>
        <v>#DIV/0!</v>
      </c>
    </row>
    <row r="67" spans="1:32" ht="51" x14ac:dyDescent="0.2">
      <c r="A67" s="20" t="s">
        <v>82</v>
      </c>
      <c r="B67" s="73"/>
      <c r="C67" s="68"/>
      <c r="D67" s="68"/>
      <c r="E67" s="68"/>
      <c r="F67" s="122"/>
      <c r="G67" s="69"/>
      <c r="H67" s="43"/>
      <c r="I67" s="71"/>
      <c r="J67" s="51"/>
      <c r="K67" s="51"/>
      <c r="L67" s="51"/>
      <c r="M67" s="70"/>
      <c r="N67" s="70"/>
      <c r="O67" s="43"/>
      <c r="P67" s="71"/>
      <c r="Q67" s="51"/>
      <c r="R67" s="51"/>
      <c r="S67" s="51"/>
      <c r="T67" s="70"/>
      <c r="U67" s="52"/>
      <c r="V67" s="42"/>
      <c r="W67" s="111" t="e">
        <f t="shared" si="28"/>
        <v>#DIV/0!</v>
      </c>
      <c r="X67" s="111" t="e">
        <f t="shared" si="24"/>
        <v>#DIV/0!</v>
      </c>
      <c r="Y67" s="111" t="e">
        <f t="shared" si="24"/>
        <v>#DIV/0!</v>
      </c>
      <c r="Z67" s="111" t="e">
        <f t="shared" si="24"/>
        <v>#DIV/0!</v>
      </c>
      <c r="AA67" s="112" t="e">
        <f t="shared" si="25"/>
        <v>#DIV/0!</v>
      </c>
      <c r="AB67" s="109" t="e">
        <f t="shared" si="29"/>
        <v>#DIV/0!</v>
      </c>
      <c r="AC67" s="109" t="e">
        <f t="shared" si="26"/>
        <v>#DIV/0!</v>
      </c>
      <c r="AD67" s="109" t="e">
        <f t="shared" si="26"/>
        <v>#DIV/0!</v>
      </c>
      <c r="AE67" s="109" t="e">
        <f t="shared" si="26"/>
        <v>#DIV/0!</v>
      </c>
      <c r="AF67" s="110" t="e">
        <f t="shared" si="27"/>
        <v>#DIV/0!</v>
      </c>
    </row>
    <row r="68" spans="1:32" ht="52" thickBot="1" x14ac:dyDescent="0.25">
      <c r="A68" s="21" t="s">
        <v>85</v>
      </c>
      <c r="B68" s="76"/>
      <c r="C68" s="58"/>
      <c r="D68" s="58"/>
      <c r="E68" s="58"/>
      <c r="F68" s="120"/>
      <c r="G68" s="59"/>
      <c r="H68" s="39"/>
      <c r="I68" s="66"/>
      <c r="J68" s="54"/>
      <c r="K68" s="54"/>
      <c r="L68" s="54"/>
      <c r="M68" s="64"/>
      <c r="N68" s="64"/>
      <c r="O68" s="39"/>
      <c r="P68" s="66"/>
      <c r="Q68" s="54"/>
      <c r="R68" s="54"/>
      <c r="S68" s="54"/>
      <c r="T68" s="64"/>
      <c r="U68" s="55"/>
      <c r="V68" s="28"/>
      <c r="W68" s="113" t="e">
        <f t="shared" si="28"/>
        <v>#DIV/0!</v>
      </c>
      <c r="X68" s="113" t="e">
        <f t="shared" si="24"/>
        <v>#DIV/0!</v>
      </c>
      <c r="Y68" s="113" t="e">
        <f t="shared" si="24"/>
        <v>#DIV/0!</v>
      </c>
      <c r="Z68" s="113" t="e">
        <f t="shared" si="24"/>
        <v>#DIV/0!</v>
      </c>
      <c r="AA68" s="114" t="e">
        <f t="shared" si="25"/>
        <v>#DIV/0!</v>
      </c>
      <c r="AB68" s="115" t="e">
        <f t="shared" si="29"/>
        <v>#DIV/0!</v>
      </c>
      <c r="AC68" s="115" t="e">
        <f t="shared" si="26"/>
        <v>#DIV/0!</v>
      </c>
      <c r="AD68" s="115" t="e">
        <f t="shared" si="26"/>
        <v>#DIV/0!</v>
      </c>
      <c r="AE68" s="115" t="e">
        <f t="shared" si="26"/>
        <v>#DIV/0!</v>
      </c>
      <c r="AF68" s="116" t="e">
        <f t="shared" si="27"/>
        <v>#DIV/0!</v>
      </c>
    </row>
    <row r="72" spans="1:32" ht="17" thickBot="1" x14ac:dyDescent="0.25"/>
    <row r="73" spans="1:32" ht="16" customHeight="1" x14ac:dyDescent="0.2">
      <c r="A73" s="198" t="s">
        <v>75</v>
      </c>
      <c r="B73" s="199"/>
      <c r="C73" s="199"/>
      <c r="D73" s="199"/>
      <c r="E73" s="199"/>
      <c r="F73" s="199"/>
      <c r="G73" s="200"/>
    </row>
    <row r="74" spans="1:32" ht="16" customHeight="1" thickBot="1" x14ac:dyDescent="0.25">
      <c r="A74" s="201"/>
      <c r="B74" s="202"/>
      <c r="C74" s="202"/>
      <c r="D74" s="202"/>
      <c r="E74" s="202"/>
      <c r="F74" s="202"/>
      <c r="G74" s="203"/>
    </row>
    <row r="75" spans="1:32" ht="16" customHeight="1" x14ac:dyDescent="0.2">
      <c r="A75" s="204" t="s">
        <v>122</v>
      </c>
      <c r="B75" s="205"/>
      <c r="C75" s="205"/>
      <c r="D75" s="205"/>
      <c r="E75" s="205"/>
      <c r="F75" s="205"/>
      <c r="G75" s="205"/>
      <c r="H75" s="205"/>
      <c r="I75" s="205"/>
      <c r="J75" s="205"/>
      <c r="K75" s="205"/>
      <c r="L75" s="205"/>
      <c r="M75" s="205"/>
      <c r="N75" s="205"/>
      <c r="O75" s="206"/>
    </row>
    <row r="76" spans="1:32" ht="16" customHeight="1" x14ac:dyDescent="0.2">
      <c r="A76" s="207"/>
      <c r="B76" s="208"/>
      <c r="C76" s="208"/>
      <c r="D76" s="208"/>
      <c r="E76" s="208"/>
      <c r="F76" s="208"/>
      <c r="G76" s="208"/>
      <c r="H76" s="208"/>
      <c r="I76" s="208"/>
      <c r="J76" s="208"/>
      <c r="K76" s="208"/>
      <c r="L76" s="208"/>
      <c r="M76" s="208"/>
      <c r="N76" s="208"/>
      <c r="O76" s="209"/>
    </row>
    <row r="77" spans="1:32" ht="16" customHeight="1" x14ac:dyDescent="0.2">
      <c r="A77" s="207"/>
      <c r="B77" s="208"/>
      <c r="C77" s="208"/>
      <c r="D77" s="208"/>
      <c r="E77" s="208"/>
      <c r="F77" s="208"/>
      <c r="G77" s="208"/>
      <c r="H77" s="208"/>
      <c r="I77" s="208"/>
      <c r="J77" s="208"/>
      <c r="K77" s="208"/>
      <c r="L77" s="208"/>
      <c r="M77" s="208"/>
      <c r="N77" s="208"/>
      <c r="O77" s="209"/>
    </row>
    <row r="78" spans="1:32" ht="16" customHeight="1" x14ac:dyDescent="0.2">
      <c r="A78" s="207"/>
      <c r="B78" s="208"/>
      <c r="C78" s="208"/>
      <c r="D78" s="208"/>
      <c r="E78" s="208"/>
      <c r="F78" s="208"/>
      <c r="G78" s="208"/>
      <c r="H78" s="208"/>
      <c r="I78" s="208"/>
      <c r="J78" s="208"/>
      <c r="K78" s="208"/>
      <c r="L78" s="208"/>
      <c r="M78" s="208"/>
      <c r="N78" s="208"/>
      <c r="O78" s="209"/>
    </row>
    <row r="79" spans="1:32" ht="16" customHeight="1" x14ac:dyDescent="0.2">
      <c r="A79" s="207"/>
      <c r="B79" s="208"/>
      <c r="C79" s="208"/>
      <c r="D79" s="208"/>
      <c r="E79" s="208"/>
      <c r="F79" s="208"/>
      <c r="G79" s="208"/>
      <c r="H79" s="208"/>
      <c r="I79" s="208"/>
      <c r="J79" s="208"/>
      <c r="K79" s="208"/>
      <c r="L79" s="208"/>
      <c r="M79" s="208"/>
      <c r="N79" s="208"/>
      <c r="O79" s="209"/>
    </row>
    <row r="80" spans="1:32" ht="16" customHeight="1" x14ac:dyDescent="0.2">
      <c r="A80" s="207"/>
      <c r="B80" s="208"/>
      <c r="C80" s="208"/>
      <c r="D80" s="208"/>
      <c r="E80" s="208"/>
      <c r="F80" s="208"/>
      <c r="G80" s="208"/>
      <c r="H80" s="208"/>
      <c r="I80" s="208"/>
      <c r="J80" s="208"/>
      <c r="K80" s="208"/>
      <c r="L80" s="208"/>
      <c r="M80" s="208"/>
      <c r="N80" s="208"/>
      <c r="O80" s="209"/>
    </row>
    <row r="81" spans="1:15" ht="16" customHeight="1" x14ac:dyDescent="0.2">
      <c r="A81" s="207"/>
      <c r="B81" s="208"/>
      <c r="C81" s="208"/>
      <c r="D81" s="208"/>
      <c r="E81" s="208"/>
      <c r="F81" s="208"/>
      <c r="G81" s="208"/>
      <c r="H81" s="208"/>
      <c r="I81" s="208"/>
      <c r="J81" s="208"/>
      <c r="K81" s="208"/>
      <c r="L81" s="208"/>
      <c r="M81" s="208"/>
      <c r="N81" s="208"/>
      <c r="O81" s="209"/>
    </row>
    <row r="82" spans="1:15" ht="16" customHeight="1" x14ac:dyDescent="0.2">
      <c r="A82" s="207"/>
      <c r="B82" s="208"/>
      <c r="C82" s="208"/>
      <c r="D82" s="208"/>
      <c r="E82" s="208"/>
      <c r="F82" s="208"/>
      <c r="G82" s="208"/>
      <c r="H82" s="208"/>
      <c r="I82" s="208"/>
      <c r="J82" s="208"/>
      <c r="K82" s="208"/>
      <c r="L82" s="208"/>
      <c r="M82" s="208"/>
      <c r="N82" s="208"/>
      <c r="O82" s="209"/>
    </row>
    <row r="83" spans="1:15" ht="16" customHeight="1" x14ac:dyDescent="0.2">
      <c r="A83" s="207"/>
      <c r="B83" s="208"/>
      <c r="C83" s="208"/>
      <c r="D83" s="208"/>
      <c r="E83" s="208"/>
      <c r="F83" s="208"/>
      <c r="G83" s="208"/>
      <c r="H83" s="208"/>
      <c r="I83" s="208"/>
      <c r="J83" s="208"/>
      <c r="K83" s="208"/>
      <c r="L83" s="208"/>
      <c r="M83" s="208"/>
      <c r="N83" s="208"/>
      <c r="O83" s="209"/>
    </row>
    <row r="84" spans="1:15" ht="16" customHeight="1" x14ac:dyDescent="0.2">
      <c r="A84" s="207"/>
      <c r="B84" s="208"/>
      <c r="C84" s="208"/>
      <c r="D84" s="208"/>
      <c r="E84" s="208"/>
      <c r="F84" s="208"/>
      <c r="G84" s="208"/>
      <c r="H84" s="208"/>
      <c r="I84" s="208"/>
      <c r="J84" s="208"/>
      <c r="K84" s="208"/>
      <c r="L84" s="208"/>
      <c r="M84" s="208"/>
      <c r="N84" s="208"/>
      <c r="O84" s="209"/>
    </row>
    <row r="85" spans="1:15" ht="17" customHeight="1" x14ac:dyDescent="0.2">
      <c r="A85" s="207"/>
      <c r="B85" s="208"/>
      <c r="C85" s="208"/>
      <c r="D85" s="208"/>
      <c r="E85" s="208"/>
      <c r="F85" s="208"/>
      <c r="G85" s="208"/>
      <c r="H85" s="208"/>
      <c r="I85" s="208"/>
      <c r="J85" s="208"/>
      <c r="K85" s="208"/>
      <c r="L85" s="208"/>
      <c r="M85" s="208"/>
      <c r="N85" s="208"/>
      <c r="O85" s="209"/>
    </row>
    <row r="86" spans="1:15" ht="16" customHeight="1" x14ac:dyDescent="0.2">
      <c r="A86" s="207"/>
      <c r="B86" s="208"/>
      <c r="C86" s="208"/>
      <c r="D86" s="208"/>
      <c r="E86" s="208"/>
      <c r="F86" s="208"/>
      <c r="G86" s="208"/>
      <c r="H86" s="208"/>
      <c r="I86" s="208"/>
      <c r="J86" s="208"/>
      <c r="K86" s="208"/>
      <c r="L86" s="208"/>
      <c r="M86" s="208"/>
      <c r="N86" s="208"/>
      <c r="O86" s="209"/>
    </row>
    <row r="87" spans="1:15" ht="16" customHeight="1" x14ac:dyDescent="0.2">
      <c r="A87" s="207"/>
      <c r="B87" s="208"/>
      <c r="C87" s="208"/>
      <c r="D87" s="208"/>
      <c r="E87" s="208"/>
      <c r="F87" s="208"/>
      <c r="G87" s="208"/>
      <c r="H87" s="208"/>
      <c r="I87" s="208"/>
      <c r="J87" s="208"/>
      <c r="K87" s="208"/>
      <c r="L87" s="208"/>
      <c r="M87" s="208"/>
      <c r="N87" s="208"/>
      <c r="O87" s="209"/>
    </row>
    <row r="88" spans="1:15" ht="17" customHeight="1" x14ac:dyDescent="0.2">
      <c r="A88" s="207"/>
      <c r="B88" s="208"/>
      <c r="C88" s="208"/>
      <c r="D88" s="208"/>
      <c r="E88" s="208"/>
      <c r="F88" s="208"/>
      <c r="G88" s="208"/>
      <c r="H88" s="208"/>
      <c r="I88" s="208"/>
      <c r="J88" s="208"/>
      <c r="K88" s="208"/>
      <c r="L88" s="208"/>
      <c r="M88" s="208"/>
      <c r="N88" s="208"/>
      <c r="O88" s="209"/>
    </row>
    <row r="89" spans="1:15" x14ac:dyDescent="0.2">
      <c r="A89" s="207"/>
      <c r="B89" s="208"/>
      <c r="C89" s="208"/>
      <c r="D89" s="208"/>
      <c r="E89" s="208"/>
      <c r="F89" s="208"/>
      <c r="G89" s="208"/>
      <c r="H89" s="208"/>
      <c r="I89" s="208"/>
      <c r="J89" s="208"/>
      <c r="K89" s="208"/>
      <c r="L89" s="208"/>
      <c r="M89" s="208"/>
      <c r="N89" s="208"/>
      <c r="O89" s="209"/>
    </row>
    <row r="90" spans="1:15" ht="17" thickBot="1" x14ac:dyDescent="0.25">
      <c r="A90" s="210"/>
      <c r="B90" s="211"/>
      <c r="C90" s="211"/>
      <c r="D90" s="211"/>
      <c r="E90" s="211"/>
      <c r="F90" s="211"/>
      <c r="G90" s="211"/>
      <c r="H90" s="211"/>
      <c r="I90" s="211"/>
      <c r="J90" s="211"/>
      <c r="K90" s="211"/>
      <c r="L90" s="211"/>
      <c r="M90" s="211"/>
      <c r="N90" s="211"/>
      <c r="O90" s="212"/>
    </row>
    <row r="94" spans="1:15" x14ac:dyDescent="0.2">
      <c r="A94" s="180" t="s">
        <v>127</v>
      </c>
      <c r="B94" s="215"/>
      <c r="C94" s="215"/>
      <c r="D94" s="215"/>
    </row>
    <row r="95" spans="1:15" ht="63" customHeight="1" x14ac:dyDescent="0.2">
      <c r="A95" s="179" t="s">
        <v>128</v>
      </c>
      <c r="B95" s="213" t="s">
        <v>150</v>
      </c>
      <c r="C95" s="213"/>
      <c r="D95" s="213"/>
      <c r="E95" s="213"/>
      <c r="F95" s="213"/>
      <c r="G95" s="213"/>
      <c r="H95" s="213"/>
    </row>
    <row r="96" spans="1:15" ht="85" customHeight="1" x14ac:dyDescent="0.2">
      <c r="A96" s="179" t="s">
        <v>129</v>
      </c>
      <c r="B96" s="213" t="s">
        <v>135</v>
      </c>
      <c r="C96" s="213"/>
      <c r="D96" s="213"/>
      <c r="E96" s="213"/>
      <c r="F96" s="213"/>
      <c r="G96" s="213"/>
      <c r="H96" s="213"/>
    </row>
    <row r="97" spans="1:8" ht="36" customHeight="1" x14ac:dyDescent="0.2">
      <c r="A97" s="179" t="s">
        <v>132</v>
      </c>
      <c r="B97" s="213" t="s">
        <v>149</v>
      </c>
      <c r="C97" s="213"/>
      <c r="D97" s="213"/>
      <c r="E97" s="213"/>
      <c r="F97" s="213"/>
      <c r="G97" s="213"/>
      <c r="H97" s="213"/>
    </row>
    <row r="98" spans="1:8" ht="120" customHeight="1" x14ac:dyDescent="0.2">
      <c r="A98" s="179" t="s">
        <v>130</v>
      </c>
      <c r="B98" s="213" t="s">
        <v>136</v>
      </c>
      <c r="C98" s="213"/>
      <c r="D98" s="213"/>
      <c r="E98" s="213"/>
      <c r="F98" s="213"/>
      <c r="G98" s="213"/>
      <c r="H98" s="213"/>
    </row>
    <row r="99" spans="1:8" x14ac:dyDescent="0.2">
      <c r="B99" s="181"/>
      <c r="C99" s="181"/>
      <c r="D99" s="181"/>
    </row>
    <row r="100" spans="1:8" x14ac:dyDescent="0.2">
      <c r="B100" s="181"/>
      <c r="C100" s="181"/>
      <c r="D100" s="181"/>
    </row>
    <row r="101" spans="1:8" x14ac:dyDescent="0.2">
      <c r="B101" s="181"/>
      <c r="C101" s="181"/>
      <c r="D101" s="181"/>
    </row>
    <row r="102" spans="1:8" x14ac:dyDescent="0.2">
      <c r="A102" s="180" t="s">
        <v>131</v>
      </c>
      <c r="B102" s="181"/>
      <c r="C102" s="181"/>
      <c r="D102" s="181"/>
    </row>
    <row r="103" spans="1:8" ht="62" customHeight="1" x14ac:dyDescent="0.2">
      <c r="A103" s="175" t="s">
        <v>132</v>
      </c>
      <c r="B103" s="213" t="s">
        <v>139</v>
      </c>
      <c r="C103" s="213"/>
      <c r="D103" s="213"/>
      <c r="E103" s="213"/>
      <c r="F103" s="213"/>
      <c r="G103" s="213"/>
      <c r="H103" s="213"/>
    </row>
    <row r="104" spans="1:8" ht="62" customHeight="1" x14ac:dyDescent="0.2">
      <c r="A104" s="175" t="s">
        <v>138</v>
      </c>
      <c r="B104" s="214" t="s">
        <v>140</v>
      </c>
      <c r="C104" s="214"/>
      <c r="D104" s="214"/>
      <c r="E104" s="214"/>
      <c r="F104" s="214"/>
      <c r="G104" s="214"/>
      <c r="H104" s="214"/>
    </row>
    <row r="105" spans="1:8" ht="62" customHeight="1" x14ac:dyDescent="0.2">
      <c r="A105" s="175" t="s">
        <v>133</v>
      </c>
      <c r="B105" s="214" t="s">
        <v>137</v>
      </c>
      <c r="C105" s="214"/>
      <c r="D105" s="214"/>
      <c r="E105" s="214"/>
      <c r="F105" s="214"/>
      <c r="G105" s="214"/>
      <c r="H105" s="214"/>
    </row>
  </sheetData>
  <mergeCells count="49">
    <mergeCell ref="B103:H103"/>
    <mergeCell ref="B98:H98"/>
    <mergeCell ref="B104:H104"/>
    <mergeCell ref="B105:H105"/>
    <mergeCell ref="B94:D94"/>
    <mergeCell ref="B97:H97"/>
    <mergeCell ref="B96:H96"/>
    <mergeCell ref="B95:H95"/>
    <mergeCell ref="A73:G74"/>
    <mergeCell ref="A75:O90"/>
    <mergeCell ref="B53:H53"/>
    <mergeCell ref="I53:O53"/>
    <mergeCell ref="P53:V53"/>
    <mergeCell ref="W53:AA53"/>
    <mergeCell ref="AB53:AF53"/>
    <mergeCell ref="B63:H63"/>
    <mergeCell ref="I63:O63"/>
    <mergeCell ref="P63:V63"/>
    <mergeCell ref="W63:AA63"/>
    <mergeCell ref="AB63:AF63"/>
    <mergeCell ref="A42:AF42"/>
    <mergeCell ref="B44:H44"/>
    <mergeCell ref="I44:O44"/>
    <mergeCell ref="P44:V44"/>
    <mergeCell ref="W44:AA44"/>
    <mergeCell ref="AB44:AF44"/>
    <mergeCell ref="B20:H20"/>
    <mergeCell ref="I20:O20"/>
    <mergeCell ref="P20:V20"/>
    <mergeCell ref="W20:AA20"/>
    <mergeCell ref="AB20:AF20"/>
    <mergeCell ref="B30:H30"/>
    <mergeCell ref="I30:O30"/>
    <mergeCell ref="P30:V30"/>
    <mergeCell ref="W30:AA30"/>
    <mergeCell ref="AB30:AF30"/>
    <mergeCell ref="B6:D6"/>
    <mergeCell ref="B7:D7"/>
    <mergeCell ref="A9:AF9"/>
    <mergeCell ref="B11:H11"/>
    <mergeCell ref="I11:O11"/>
    <mergeCell ref="P11:V11"/>
    <mergeCell ref="W11:AA11"/>
    <mergeCell ref="AB11:AF11"/>
    <mergeCell ref="B4:D4"/>
    <mergeCell ref="B1:D1"/>
    <mergeCell ref="B2:D2"/>
    <mergeCell ref="B3:D3"/>
    <mergeCell ref="B5:D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7EA4B-4F2F-234B-8512-1CA76C6C7377}">
  <dimension ref="A1:V15"/>
  <sheetViews>
    <sheetView topLeftCell="E11" zoomScale="98" workbookViewId="0">
      <selection activeCell="O6" sqref="O6"/>
    </sheetView>
  </sheetViews>
  <sheetFormatPr baseColWidth="10" defaultRowHeight="16" x14ac:dyDescent="0.2"/>
  <cols>
    <col min="1" max="1" width="26.83203125" customWidth="1"/>
    <col min="2" max="2" width="9.83203125" customWidth="1"/>
    <col min="3" max="3" width="10.33203125" customWidth="1"/>
    <col min="4" max="4" width="10.6640625" customWidth="1"/>
    <col min="5" max="6" width="10.33203125" customWidth="1"/>
    <col min="7" max="7" width="11.33203125" customWidth="1"/>
    <col min="8" max="8" width="48" customWidth="1"/>
    <col min="15" max="15" width="48.33203125" style="1" customWidth="1"/>
    <col min="22" max="22" width="43.83203125" style="1" customWidth="1"/>
  </cols>
  <sheetData>
    <row r="1" spans="1:22" ht="17" thickBot="1" x14ac:dyDescent="0.25"/>
    <row r="2" spans="1:22" ht="23" thickBot="1" x14ac:dyDescent="0.25">
      <c r="B2" s="184" t="s">
        <v>14</v>
      </c>
      <c r="C2" s="185"/>
      <c r="D2" s="185"/>
      <c r="E2" s="185"/>
      <c r="F2" s="185"/>
      <c r="G2" s="185"/>
      <c r="H2" s="186"/>
      <c r="I2" s="184" t="s">
        <v>15</v>
      </c>
      <c r="J2" s="185"/>
      <c r="K2" s="185"/>
      <c r="L2" s="185"/>
      <c r="M2" s="185"/>
      <c r="N2" s="185"/>
      <c r="O2" s="186"/>
      <c r="P2" s="187" t="s">
        <v>16</v>
      </c>
      <c r="Q2" s="188"/>
      <c r="R2" s="188"/>
      <c r="S2" s="188"/>
      <c r="T2" s="188"/>
      <c r="U2" s="188"/>
      <c r="V2" s="189"/>
    </row>
    <row r="3" spans="1:22" ht="23" thickBot="1" x14ac:dyDescent="0.35">
      <c r="A3" s="95" t="s">
        <v>5</v>
      </c>
      <c r="B3" s="155" t="s">
        <v>7</v>
      </c>
      <c r="C3" s="156" t="s">
        <v>21</v>
      </c>
      <c r="D3" s="156" t="s">
        <v>9</v>
      </c>
      <c r="E3" s="156" t="s">
        <v>10</v>
      </c>
      <c r="F3" s="157" t="s">
        <v>100</v>
      </c>
      <c r="G3" s="158" t="s">
        <v>101</v>
      </c>
      <c r="H3" s="159" t="s">
        <v>22</v>
      </c>
      <c r="I3" s="155" t="s">
        <v>7</v>
      </c>
      <c r="J3" s="156" t="s">
        <v>21</v>
      </c>
      <c r="K3" s="156" t="s">
        <v>9</v>
      </c>
      <c r="L3" s="156" t="s">
        <v>10</v>
      </c>
      <c r="M3" s="157" t="s">
        <v>100</v>
      </c>
      <c r="N3" s="141" t="s">
        <v>101</v>
      </c>
      <c r="O3" s="164" t="s">
        <v>22</v>
      </c>
      <c r="P3" s="101" t="s">
        <v>7</v>
      </c>
      <c r="Q3" s="102" t="s">
        <v>21</v>
      </c>
      <c r="R3" s="102" t="s">
        <v>9</v>
      </c>
      <c r="S3" s="102" t="s">
        <v>10</v>
      </c>
      <c r="T3" s="104" t="s">
        <v>100</v>
      </c>
      <c r="U3" s="98" t="s">
        <v>101</v>
      </c>
      <c r="V3" s="103" t="s">
        <v>22</v>
      </c>
    </row>
    <row r="4" spans="1:22" ht="51" x14ac:dyDescent="0.2">
      <c r="A4" s="106" t="s">
        <v>79</v>
      </c>
      <c r="B4" s="128">
        <v>0</v>
      </c>
      <c r="C4" s="126">
        <v>2</v>
      </c>
      <c r="D4" s="126">
        <v>0</v>
      </c>
      <c r="E4" s="126">
        <v>1</v>
      </c>
      <c r="F4" s="133">
        <v>0</v>
      </c>
      <c r="G4" s="127">
        <v>0</v>
      </c>
      <c r="H4" s="138"/>
      <c r="I4" s="128">
        <v>1</v>
      </c>
      <c r="J4" s="126">
        <v>2</v>
      </c>
      <c r="K4" s="126">
        <v>0</v>
      </c>
      <c r="L4" s="126">
        <v>1</v>
      </c>
      <c r="M4" s="133">
        <v>0</v>
      </c>
      <c r="N4" s="127">
        <v>1</v>
      </c>
      <c r="O4" s="160" t="s">
        <v>180</v>
      </c>
      <c r="P4" s="61">
        <v>0</v>
      </c>
      <c r="Q4" s="62">
        <v>4</v>
      </c>
      <c r="R4" s="62">
        <v>0</v>
      </c>
      <c r="S4" s="62">
        <v>1</v>
      </c>
      <c r="T4" s="63">
        <v>0</v>
      </c>
      <c r="U4" s="90">
        <v>0</v>
      </c>
      <c r="V4" s="149"/>
    </row>
    <row r="5" spans="1:22" ht="51" x14ac:dyDescent="0.2">
      <c r="A5" s="24" t="s">
        <v>106</v>
      </c>
      <c r="B5" s="45">
        <v>1</v>
      </c>
      <c r="C5" s="46">
        <v>2</v>
      </c>
      <c r="D5" s="67">
        <v>0</v>
      </c>
      <c r="E5" s="46">
        <v>0</v>
      </c>
      <c r="F5" s="60">
        <v>0</v>
      </c>
      <c r="G5" s="49">
        <v>0</v>
      </c>
      <c r="H5" s="23" t="s">
        <v>104</v>
      </c>
      <c r="I5" s="45">
        <v>0</v>
      </c>
      <c r="J5" s="46">
        <v>2</v>
      </c>
      <c r="K5" s="46">
        <v>0</v>
      </c>
      <c r="L5" s="46">
        <v>1</v>
      </c>
      <c r="M5" s="60">
        <v>0</v>
      </c>
      <c r="N5" s="49">
        <v>0</v>
      </c>
      <c r="O5" s="31"/>
      <c r="P5" s="45">
        <v>0</v>
      </c>
      <c r="Q5" s="46">
        <v>3</v>
      </c>
      <c r="R5" s="46">
        <v>0</v>
      </c>
      <c r="S5" s="46">
        <v>1</v>
      </c>
      <c r="T5" s="46">
        <v>0</v>
      </c>
      <c r="U5" s="162">
        <v>0</v>
      </c>
      <c r="V5" s="16"/>
    </row>
    <row r="6" spans="1:22" ht="51" x14ac:dyDescent="0.2">
      <c r="A6" s="72" t="s">
        <v>107</v>
      </c>
      <c r="B6" s="45">
        <v>4</v>
      </c>
      <c r="C6" s="46">
        <v>4</v>
      </c>
      <c r="D6" s="46">
        <v>0</v>
      </c>
      <c r="E6" s="46">
        <v>1</v>
      </c>
      <c r="F6" s="60">
        <v>0</v>
      </c>
      <c r="G6" s="49">
        <v>0</v>
      </c>
      <c r="H6" s="23" t="s">
        <v>174</v>
      </c>
      <c r="I6" s="45">
        <v>4</v>
      </c>
      <c r="J6" s="46">
        <v>4</v>
      </c>
      <c r="K6" s="46">
        <v>0</v>
      </c>
      <c r="L6" s="46">
        <v>1</v>
      </c>
      <c r="M6" s="60">
        <v>0</v>
      </c>
      <c r="N6" s="49">
        <v>0</v>
      </c>
      <c r="O6" s="31" t="s">
        <v>179</v>
      </c>
      <c r="P6" s="77">
        <v>3</v>
      </c>
      <c r="Q6" s="78">
        <v>5</v>
      </c>
      <c r="R6" s="78">
        <v>0</v>
      </c>
      <c r="S6" s="163">
        <v>1</v>
      </c>
      <c r="T6" s="163">
        <v>0</v>
      </c>
      <c r="U6" s="79">
        <v>0</v>
      </c>
      <c r="V6" s="136" t="s">
        <v>105</v>
      </c>
    </row>
    <row r="7" spans="1:22" ht="171" thickBot="1" x14ac:dyDescent="0.25">
      <c r="A7" s="165" t="s">
        <v>108</v>
      </c>
      <c r="B7" s="53">
        <v>0</v>
      </c>
      <c r="C7" s="54">
        <f>7</f>
        <v>7</v>
      </c>
      <c r="D7" s="54">
        <v>0</v>
      </c>
      <c r="E7" s="54">
        <v>1</v>
      </c>
      <c r="F7" s="64">
        <v>3</v>
      </c>
      <c r="G7" s="55">
        <v>3</v>
      </c>
      <c r="H7" s="137" t="s">
        <v>155</v>
      </c>
      <c r="I7" s="53">
        <v>2</v>
      </c>
      <c r="J7" s="54">
        <v>2</v>
      </c>
      <c r="K7" s="54">
        <v>0</v>
      </c>
      <c r="L7" s="54">
        <v>0</v>
      </c>
      <c r="M7" s="64">
        <v>0</v>
      </c>
      <c r="N7" s="55">
        <v>2</v>
      </c>
      <c r="O7" s="44" t="s">
        <v>178</v>
      </c>
      <c r="P7" s="53">
        <v>3</v>
      </c>
      <c r="Q7" s="54">
        <v>3</v>
      </c>
      <c r="R7" s="54">
        <v>0</v>
      </c>
      <c r="S7" s="54">
        <v>0</v>
      </c>
      <c r="T7" s="64">
        <v>0</v>
      </c>
      <c r="U7" s="55">
        <v>1</v>
      </c>
      <c r="V7" s="39" t="s">
        <v>162</v>
      </c>
    </row>
    <row r="8" spans="1:22" ht="246" customHeight="1" x14ac:dyDescent="0.2">
      <c r="A8" s="138" t="s">
        <v>109</v>
      </c>
      <c r="B8" s="125">
        <v>1</v>
      </c>
      <c r="C8" s="126">
        <v>5</v>
      </c>
      <c r="D8" s="126">
        <v>0</v>
      </c>
      <c r="E8" s="126">
        <v>0</v>
      </c>
      <c r="F8" s="133">
        <v>2</v>
      </c>
      <c r="G8" s="127">
        <v>4</v>
      </c>
      <c r="H8" s="138" t="s">
        <v>163</v>
      </c>
      <c r="I8" s="128">
        <v>0</v>
      </c>
      <c r="J8" s="126">
        <v>6</v>
      </c>
      <c r="K8" s="126">
        <v>0</v>
      </c>
      <c r="L8" s="126">
        <v>1</v>
      </c>
      <c r="M8" s="133">
        <v>2</v>
      </c>
      <c r="N8" s="127">
        <v>3</v>
      </c>
      <c r="O8" s="92" t="s">
        <v>164</v>
      </c>
      <c r="P8" s="61">
        <v>0</v>
      </c>
      <c r="Q8" s="62">
        <v>6</v>
      </c>
      <c r="R8" s="62">
        <v>0</v>
      </c>
      <c r="S8" s="62">
        <v>1</v>
      </c>
      <c r="T8" s="63">
        <v>3</v>
      </c>
      <c r="U8" s="90">
        <v>3</v>
      </c>
      <c r="V8" s="136" t="s">
        <v>155</v>
      </c>
    </row>
    <row r="9" spans="1:22" ht="85" x14ac:dyDescent="0.2">
      <c r="A9" s="23" t="s">
        <v>110</v>
      </c>
      <c r="B9" s="56">
        <v>0</v>
      </c>
      <c r="C9" s="46">
        <v>5</v>
      </c>
      <c r="D9" s="46">
        <v>0</v>
      </c>
      <c r="E9" s="46">
        <v>1</v>
      </c>
      <c r="F9" s="60">
        <v>1</v>
      </c>
      <c r="G9" s="49">
        <v>1</v>
      </c>
      <c r="H9" s="43" t="s">
        <v>165</v>
      </c>
      <c r="I9" s="45">
        <v>0</v>
      </c>
      <c r="J9" s="46">
        <v>6</v>
      </c>
      <c r="K9" s="46">
        <v>0</v>
      </c>
      <c r="L9" s="46">
        <v>1</v>
      </c>
      <c r="M9" s="60">
        <v>2</v>
      </c>
      <c r="N9" s="49">
        <v>3</v>
      </c>
      <c r="O9" s="31" t="s">
        <v>166</v>
      </c>
      <c r="P9" s="45">
        <v>0</v>
      </c>
      <c r="Q9" s="46">
        <v>6</v>
      </c>
      <c r="R9" s="46">
        <v>0</v>
      </c>
      <c r="S9" s="46">
        <v>1</v>
      </c>
      <c r="T9" s="60">
        <v>2</v>
      </c>
      <c r="U9" s="49">
        <v>3</v>
      </c>
      <c r="V9" s="23" t="s">
        <v>166</v>
      </c>
    </row>
    <row r="10" spans="1:22" ht="119" x14ac:dyDescent="0.2">
      <c r="A10" s="23" t="s">
        <v>111</v>
      </c>
      <c r="B10" s="56">
        <v>0</v>
      </c>
      <c r="C10" s="46">
        <v>5</v>
      </c>
      <c r="D10" s="46">
        <v>0</v>
      </c>
      <c r="E10" s="46">
        <v>1</v>
      </c>
      <c r="F10" s="60">
        <v>2</v>
      </c>
      <c r="G10" s="49">
        <v>2</v>
      </c>
      <c r="H10" s="136" t="s">
        <v>151</v>
      </c>
      <c r="I10" s="45">
        <v>2</v>
      </c>
      <c r="J10" s="46">
        <v>6</v>
      </c>
      <c r="K10" s="46">
        <v>0</v>
      </c>
      <c r="L10" s="46">
        <v>0</v>
      </c>
      <c r="M10" s="60">
        <v>2</v>
      </c>
      <c r="N10" s="49">
        <v>2</v>
      </c>
      <c r="O10" s="31" t="s">
        <v>177</v>
      </c>
      <c r="P10" s="45">
        <v>1</v>
      </c>
      <c r="Q10" s="46">
        <v>5</v>
      </c>
      <c r="R10" s="46">
        <v>0</v>
      </c>
      <c r="S10" s="46">
        <v>0</v>
      </c>
      <c r="T10" s="60">
        <v>1</v>
      </c>
      <c r="U10" s="49">
        <v>1</v>
      </c>
      <c r="V10" s="23" t="s">
        <v>167</v>
      </c>
    </row>
    <row r="11" spans="1:22" ht="69" thickBot="1" x14ac:dyDescent="0.25">
      <c r="A11" s="39" t="s">
        <v>112</v>
      </c>
      <c r="B11" s="53">
        <v>0</v>
      </c>
      <c r="C11" s="54">
        <v>4</v>
      </c>
      <c r="D11" s="54">
        <v>0</v>
      </c>
      <c r="E11" s="54">
        <v>1</v>
      </c>
      <c r="F11" s="64">
        <v>2</v>
      </c>
      <c r="G11" s="55">
        <v>2</v>
      </c>
      <c r="H11" s="137" t="s">
        <v>151</v>
      </c>
      <c r="I11" s="53">
        <v>0</v>
      </c>
      <c r="J11" s="54">
        <v>6</v>
      </c>
      <c r="K11" s="54">
        <v>0</v>
      </c>
      <c r="L11" s="54">
        <v>1</v>
      </c>
      <c r="M11" s="64">
        <v>4</v>
      </c>
      <c r="N11" s="55">
        <v>5</v>
      </c>
      <c r="O11" s="44" t="s">
        <v>168</v>
      </c>
      <c r="P11" s="53">
        <v>0</v>
      </c>
      <c r="Q11" s="54">
        <v>5</v>
      </c>
      <c r="R11" s="54">
        <v>0</v>
      </c>
      <c r="S11" s="54">
        <v>1</v>
      </c>
      <c r="T11" s="64">
        <v>3</v>
      </c>
      <c r="U11" s="55">
        <v>4</v>
      </c>
      <c r="V11" s="39" t="s">
        <v>169</v>
      </c>
    </row>
    <row r="12" spans="1:22" s="1" customFormat="1" ht="63" customHeight="1" x14ac:dyDescent="0.2">
      <c r="A12" s="38" t="s">
        <v>113</v>
      </c>
      <c r="B12" s="161">
        <v>0</v>
      </c>
      <c r="C12" s="131">
        <v>3</v>
      </c>
      <c r="D12" s="131">
        <v>0</v>
      </c>
      <c r="E12" s="131">
        <v>1</v>
      </c>
      <c r="F12" s="132">
        <v>1</v>
      </c>
      <c r="G12" s="150">
        <v>1</v>
      </c>
      <c r="H12" s="151" t="s">
        <v>152</v>
      </c>
      <c r="I12" s="161">
        <v>0</v>
      </c>
      <c r="J12" s="131">
        <v>3</v>
      </c>
      <c r="K12" s="131">
        <v>0</v>
      </c>
      <c r="L12" s="131">
        <v>1</v>
      </c>
      <c r="M12" s="132">
        <v>1</v>
      </c>
      <c r="N12" s="150">
        <v>1</v>
      </c>
      <c r="O12" s="135" t="s">
        <v>152</v>
      </c>
      <c r="P12" s="65">
        <v>0</v>
      </c>
      <c r="Q12" s="46">
        <v>5</v>
      </c>
      <c r="R12" s="46">
        <v>0</v>
      </c>
      <c r="S12" s="46">
        <v>1</v>
      </c>
      <c r="T12" s="60">
        <v>3</v>
      </c>
      <c r="U12" s="49">
        <v>3</v>
      </c>
      <c r="V12" s="136" t="s">
        <v>155</v>
      </c>
    </row>
    <row r="13" spans="1:22" s="175" customFormat="1" ht="65" customHeight="1" x14ac:dyDescent="0.2">
      <c r="A13" s="166" t="s">
        <v>114</v>
      </c>
      <c r="B13" s="167">
        <v>1</v>
      </c>
      <c r="C13" s="168">
        <v>3</v>
      </c>
      <c r="D13" s="168">
        <v>0</v>
      </c>
      <c r="E13" s="168">
        <v>1</v>
      </c>
      <c r="F13" s="169">
        <v>0</v>
      </c>
      <c r="G13" s="170">
        <v>0</v>
      </c>
      <c r="H13" s="171" t="s">
        <v>175</v>
      </c>
      <c r="I13" s="172">
        <v>1</v>
      </c>
      <c r="J13" s="173">
        <v>3</v>
      </c>
      <c r="K13" s="173">
        <v>0</v>
      </c>
      <c r="L13" s="173">
        <v>1</v>
      </c>
      <c r="M13" s="174">
        <v>0</v>
      </c>
      <c r="N13" s="174">
        <v>0</v>
      </c>
      <c r="O13" s="171" t="s">
        <v>148</v>
      </c>
      <c r="P13" s="167">
        <v>1</v>
      </c>
      <c r="Q13" s="168">
        <v>3</v>
      </c>
      <c r="R13" s="168">
        <v>0</v>
      </c>
      <c r="S13" s="168">
        <v>1</v>
      </c>
      <c r="T13" s="169">
        <v>0</v>
      </c>
      <c r="U13" s="170">
        <v>0</v>
      </c>
      <c r="V13" s="171" t="s">
        <v>148</v>
      </c>
    </row>
    <row r="14" spans="1:22" ht="153" x14ac:dyDescent="0.2">
      <c r="A14" s="23" t="s">
        <v>115</v>
      </c>
      <c r="B14" s="73">
        <v>2</v>
      </c>
      <c r="C14" s="68">
        <v>5</v>
      </c>
      <c r="D14" s="68">
        <v>0</v>
      </c>
      <c r="E14" s="68">
        <v>0</v>
      </c>
      <c r="F14" s="122">
        <v>2</v>
      </c>
      <c r="G14" s="69">
        <v>3</v>
      </c>
      <c r="H14" s="43" t="s">
        <v>170</v>
      </c>
      <c r="I14" s="71">
        <v>3</v>
      </c>
      <c r="J14" s="51">
        <v>13</v>
      </c>
      <c r="K14" s="51">
        <v>0</v>
      </c>
      <c r="L14" s="51">
        <v>0</v>
      </c>
      <c r="M14" s="70">
        <v>6</v>
      </c>
      <c r="N14" s="70">
        <v>7</v>
      </c>
      <c r="O14" s="43" t="s">
        <v>176</v>
      </c>
      <c r="P14" s="71">
        <v>1</v>
      </c>
      <c r="Q14" s="51">
        <v>6</v>
      </c>
      <c r="R14" s="51">
        <v>0</v>
      </c>
      <c r="S14" s="51">
        <v>0</v>
      </c>
      <c r="T14" s="70">
        <v>3</v>
      </c>
      <c r="U14" s="52">
        <v>4</v>
      </c>
      <c r="V14" s="43" t="s">
        <v>171</v>
      </c>
    </row>
    <row r="15" spans="1:22" ht="103" thickBot="1" x14ac:dyDescent="0.25">
      <c r="A15" s="39" t="s">
        <v>116</v>
      </c>
      <c r="B15" s="76">
        <v>0</v>
      </c>
      <c r="C15" s="58">
        <v>2</v>
      </c>
      <c r="D15" s="58">
        <v>0</v>
      </c>
      <c r="E15" s="58">
        <v>1</v>
      </c>
      <c r="F15" s="120">
        <v>2</v>
      </c>
      <c r="G15" s="59">
        <v>4</v>
      </c>
      <c r="H15" s="39" t="s">
        <v>172</v>
      </c>
      <c r="I15" s="66">
        <v>0</v>
      </c>
      <c r="J15" s="54">
        <v>4</v>
      </c>
      <c r="K15" s="54">
        <v>0</v>
      </c>
      <c r="L15" s="54">
        <v>1</v>
      </c>
      <c r="M15" s="64">
        <v>2</v>
      </c>
      <c r="N15" s="64">
        <v>2</v>
      </c>
      <c r="O15" s="137" t="s">
        <v>151</v>
      </c>
      <c r="P15" s="66">
        <v>0</v>
      </c>
      <c r="Q15" s="54">
        <v>4</v>
      </c>
      <c r="R15" s="54">
        <v>0</v>
      </c>
      <c r="S15" s="54">
        <v>1</v>
      </c>
      <c r="T15" s="64">
        <v>2</v>
      </c>
      <c r="U15" s="55">
        <v>2</v>
      </c>
      <c r="V15" s="137" t="s">
        <v>151</v>
      </c>
    </row>
  </sheetData>
  <mergeCells count="3">
    <mergeCell ref="B2:H2"/>
    <mergeCell ref="I2:O2"/>
    <mergeCell ref="P2:V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BED4F-40F4-844C-8DBF-866B9F6BFE89}">
  <dimension ref="A1:V15"/>
  <sheetViews>
    <sheetView topLeftCell="H9" zoomScale="75" workbookViewId="0">
      <selection activeCell="Z9" sqref="Z9"/>
    </sheetView>
  </sheetViews>
  <sheetFormatPr baseColWidth="10" defaultRowHeight="16" x14ac:dyDescent="0.2"/>
  <cols>
    <col min="1" max="1" width="26.83203125" style="1" customWidth="1"/>
    <col min="2" max="2" width="9.83203125" customWidth="1"/>
    <col min="3" max="3" width="10.33203125" customWidth="1"/>
    <col min="4" max="4" width="10.6640625" customWidth="1"/>
    <col min="5" max="6" width="10.33203125" customWidth="1"/>
    <col min="7" max="7" width="11.33203125" customWidth="1"/>
    <col min="8" max="8" width="48" customWidth="1"/>
    <col min="15" max="15" width="48.33203125" style="1" customWidth="1"/>
    <col min="22" max="22" width="43.83203125" style="1" customWidth="1"/>
  </cols>
  <sheetData>
    <row r="1" spans="1:22" ht="17" thickBot="1" x14ac:dyDescent="0.25"/>
    <row r="2" spans="1:22" ht="23" thickBot="1" x14ac:dyDescent="0.25">
      <c r="B2" s="184" t="s">
        <v>14</v>
      </c>
      <c r="C2" s="185"/>
      <c r="D2" s="185"/>
      <c r="E2" s="185"/>
      <c r="F2" s="185"/>
      <c r="G2" s="185"/>
      <c r="H2" s="186"/>
      <c r="I2" s="184" t="s">
        <v>15</v>
      </c>
      <c r="J2" s="185"/>
      <c r="K2" s="185"/>
      <c r="L2" s="185"/>
      <c r="M2" s="185"/>
      <c r="N2" s="185"/>
      <c r="O2" s="186"/>
      <c r="P2" s="190" t="s">
        <v>16</v>
      </c>
      <c r="Q2" s="191"/>
      <c r="R2" s="191"/>
      <c r="S2" s="191"/>
      <c r="T2" s="191"/>
      <c r="U2" s="191"/>
      <c r="V2" s="192"/>
    </row>
    <row r="3" spans="1:22" ht="23" thickBot="1" x14ac:dyDescent="0.25">
      <c r="A3" s="152" t="s">
        <v>5</v>
      </c>
      <c r="B3" s="96" t="s">
        <v>7</v>
      </c>
      <c r="C3" s="97" t="s">
        <v>21</v>
      </c>
      <c r="D3" s="97" t="s">
        <v>9</v>
      </c>
      <c r="E3" s="97" t="s">
        <v>10</v>
      </c>
      <c r="F3" s="121" t="s">
        <v>100</v>
      </c>
      <c r="G3" s="98" t="s">
        <v>101</v>
      </c>
      <c r="H3" s="99" t="s">
        <v>22</v>
      </c>
      <c r="I3" s="96" t="s">
        <v>7</v>
      </c>
      <c r="J3" s="97" t="s">
        <v>21</v>
      </c>
      <c r="K3" s="97" t="s">
        <v>9</v>
      </c>
      <c r="L3" s="97" t="s">
        <v>10</v>
      </c>
      <c r="M3" s="153" t="s">
        <v>100</v>
      </c>
      <c r="N3" s="98" t="s">
        <v>101</v>
      </c>
      <c r="O3" s="99" t="s">
        <v>22</v>
      </c>
      <c r="P3" s="101" t="s">
        <v>7</v>
      </c>
      <c r="Q3" s="123" t="s">
        <v>21</v>
      </c>
      <c r="R3" s="123" t="s">
        <v>9</v>
      </c>
      <c r="S3" s="123" t="s">
        <v>10</v>
      </c>
      <c r="T3" s="123" t="s">
        <v>100</v>
      </c>
      <c r="U3" s="98" t="s">
        <v>101</v>
      </c>
      <c r="V3" s="154" t="s">
        <v>22</v>
      </c>
    </row>
    <row r="4" spans="1:22" ht="83" customHeight="1" x14ac:dyDescent="0.2">
      <c r="A4" s="149" t="s">
        <v>0</v>
      </c>
      <c r="B4" s="61">
        <v>0</v>
      </c>
      <c r="C4" s="62">
        <v>2</v>
      </c>
      <c r="D4" s="131">
        <v>0</v>
      </c>
      <c r="E4" s="62">
        <v>1</v>
      </c>
      <c r="F4" s="63">
        <v>0</v>
      </c>
      <c r="G4" s="150">
        <v>0</v>
      </c>
      <c r="H4" s="91"/>
      <c r="I4" s="61">
        <v>0</v>
      </c>
      <c r="J4" s="62">
        <v>1</v>
      </c>
      <c r="K4" s="62">
        <v>0</v>
      </c>
      <c r="L4" s="62">
        <v>1</v>
      </c>
      <c r="M4" s="63">
        <v>0</v>
      </c>
      <c r="N4" s="90">
        <v>0</v>
      </c>
      <c r="O4" s="149"/>
      <c r="P4" s="146">
        <v>0</v>
      </c>
      <c r="Q4" s="62">
        <v>4</v>
      </c>
      <c r="R4" s="62">
        <v>0</v>
      </c>
      <c r="S4" s="62">
        <v>1</v>
      </c>
      <c r="T4" s="63">
        <v>2</v>
      </c>
      <c r="U4" s="63">
        <v>2</v>
      </c>
      <c r="V4" s="151" t="s">
        <v>151</v>
      </c>
    </row>
    <row r="5" spans="1:22" ht="106" customHeight="1" x14ac:dyDescent="0.2">
      <c r="A5" s="16" t="s">
        <v>1</v>
      </c>
      <c r="B5" s="45">
        <v>0</v>
      </c>
      <c r="C5" s="46">
        <v>2</v>
      </c>
      <c r="D5" s="46">
        <v>0</v>
      </c>
      <c r="E5" s="46">
        <v>1</v>
      </c>
      <c r="F5" s="60">
        <v>0</v>
      </c>
      <c r="G5" s="49">
        <v>0</v>
      </c>
      <c r="H5" s="15"/>
      <c r="I5" s="45">
        <v>0</v>
      </c>
      <c r="J5" s="46">
        <v>3</v>
      </c>
      <c r="K5" s="46">
        <v>0</v>
      </c>
      <c r="L5" s="46">
        <v>1</v>
      </c>
      <c r="M5" s="46">
        <v>1</v>
      </c>
      <c r="N5" s="49">
        <v>1</v>
      </c>
      <c r="O5" s="23" t="s">
        <v>152</v>
      </c>
      <c r="P5" s="65">
        <v>0</v>
      </c>
      <c r="Q5" s="46">
        <v>1</v>
      </c>
      <c r="R5" s="46">
        <v>0</v>
      </c>
      <c r="S5" s="46">
        <v>0</v>
      </c>
      <c r="T5" s="60">
        <v>0</v>
      </c>
      <c r="U5" s="60">
        <v>0</v>
      </c>
      <c r="V5" s="23" t="s">
        <v>103</v>
      </c>
    </row>
    <row r="6" spans="1:22" ht="106" customHeight="1" x14ac:dyDescent="0.2">
      <c r="A6" s="41" t="s">
        <v>71</v>
      </c>
      <c r="B6" s="50">
        <v>0</v>
      </c>
      <c r="C6" s="51">
        <v>2</v>
      </c>
      <c r="D6" s="51">
        <v>0</v>
      </c>
      <c r="E6" s="51">
        <v>1</v>
      </c>
      <c r="F6" s="70">
        <v>0</v>
      </c>
      <c r="G6" s="52">
        <v>0</v>
      </c>
      <c r="H6" s="42"/>
      <c r="I6" s="45">
        <v>0</v>
      </c>
      <c r="J6" s="46">
        <v>3</v>
      </c>
      <c r="K6" s="46">
        <v>0</v>
      </c>
      <c r="L6" s="46">
        <v>1</v>
      </c>
      <c r="M6" s="46">
        <v>1</v>
      </c>
      <c r="N6" s="49">
        <v>1</v>
      </c>
      <c r="O6" s="23" t="s">
        <v>152</v>
      </c>
      <c r="P6" s="65">
        <v>0</v>
      </c>
      <c r="Q6" s="46">
        <v>1</v>
      </c>
      <c r="R6" s="51">
        <v>0</v>
      </c>
      <c r="S6" s="51">
        <v>1</v>
      </c>
      <c r="T6" s="70">
        <v>0</v>
      </c>
      <c r="U6" s="70">
        <v>0</v>
      </c>
      <c r="V6" s="23"/>
    </row>
    <row r="7" spans="1:22" ht="106" customHeight="1" thickBot="1" x14ac:dyDescent="0.25">
      <c r="A7" s="17" t="s">
        <v>23</v>
      </c>
      <c r="B7" s="50">
        <v>0</v>
      </c>
      <c r="C7" s="51">
        <v>4</v>
      </c>
      <c r="D7" s="51">
        <v>0</v>
      </c>
      <c r="E7" s="51">
        <v>1</v>
      </c>
      <c r="F7" s="70">
        <v>2</v>
      </c>
      <c r="G7" s="52">
        <v>2</v>
      </c>
      <c r="H7" s="124" t="s">
        <v>151</v>
      </c>
      <c r="I7" s="142">
        <v>0</v>
      </c>
      <c r="J7" s="143">
        <v>4</v>
      </c>
      <c r="K7" s="143">
        <v>0</v>
      </c>
      <c r="L7" s="143">
        <v>1</v>
      </c>
      <c r="M7" s="144">
        <v>2</v>
      </c>
      <c r="N7" s="145">
        <v>2</v>
      </c>
      <c r="O7" s="148" t="s">
        <v>151</v>
      </c>
      <c r="P7" s="147">
        <v>0</v>
      </c>
      <c r="Q7" s="140">
        <v>4</v>
      </c>
      <c r="R7" s="51">
        <v>0</v>
      </c>
      <c r="S7" s="51">
        <v>1</v>
      </c>
      <c r="T7" s="70">
        <v>2</v>
      </c>
      <c r="U7" s="70">
        <v>2</v>
      </c>
      <c r="V7" s="137" t="s">
        <v>151</v>
      </c>
    </row>
    <row r="8" spans="1:22" ht="153" customHeight="1" x14ac:dyDescent="0.2">
      <c r="A8" s="129" t="s">
        <v>20</v>
      </c>
      <c r="B8" s="128">
        <v>0</v>
      </c>
      <c r="C8" s="126">
        <v>6</v>
      </c>
      <c r="D8" s="126">
        <v>0</v>
      </c>
      <c r="E8" s="126">
        <v>1</v>
      </c>
      <c r="F8" s="126">
        <v>4</v>
      </c>
      <c r="G8" s="133">
        <v>4</v>
      </c>
      <c r="H8" s="135" t="s">
        <v>153</v>
      </c>
      <c r="I8" s="134">
        <v>0</v>
      </c>
      <c r="J8" s="126">
        <v>3</v>
      </c>
      <c r="K8" s="126">
        <v>0</v>
      </c>
      <c r="L8" s="126">
        <v>1</v>
      </c>
      <c r="M8" s="126">
        <v>1</v>
      </c>
      <c r="N8" s="133">
        <v>1</v>
      </c>
      <c r="O8" s="135" t="s">
        <v>152</v>
      </c>
      <c r="P8" s="134">
        <v>3</v>
      </c>
      <c r="Q8" s="126">
        <v>5</v>
      </c>
      <c r="R8" s="126">
        <v>0</v>
      </c>
      <c r="S8" s="126">
        <v>0</v>
      </c>
      <c r="T8" s="126">
        <v>2</v>
      </c>
      <c r="U8" s="133">
        <v>2</v>
      </c>
      <c r="V8" s="38" t="s">
        <v>173</v>
      </c>
    </row>
    <row r="9" spans="1:22" ht="154" customHeight="1" x14ac:dyDescent="0.2">
      <c r="A9" s="129" t="s">
        <v>72</v>
      </c>
      <c r="B9" s="45">
        <v>0</v>
      </c>
      <c r="C9" s="46">
        <v>4</v>
      </c>
      <c r="D9" s="46">
        <v>0</v>
      </c>
      <c r="E9" s="46">
        <v>1</v>
      </c>
      <c r="F9" s="46">
        <v>2</v>
      </c>
      <c r="G9" s="60">
        <v>3</v>
      </c>
      <c r="H9" s="23" t="s">
        <v>154</v>
      </c>
      <c r="I9" s="65">
        <v>0</v>
      </c>
      <c r="J9" s="46">
        <v>4</v>
      </c>
      <c r="K9" s="46">
        <v>0</v>
      </c>
      <c r="L9" s="46">
        <v>1</v>
      </c>
      <c r="M9" s="46">
        <v>2</v>
      </c>
      <c r="N9" s="60">
        <v>3</v>
      </c>
      <c r="O9" s="23" t="s">
        <v>154</v>
      </c>
      <c r="P9" s="65">
        <v>4</v>
      </c>
      <c r="Q9" s="46">
        <v>7</v>
      </c>
      <c r="R9" s="46">
        <v>0</v>
      </c>
      <c r="S9" s="46">
        <v>0</v>
      </c>
      <c r="T9" s="46">
        <v>2</v>
      </c>
      <c r="U9" s="60">
        <v>2</v>
      </c>
      <c r="V9" s="23" t="s">
        <v>181</v>
      </c>
    </row>
    <row r="10" spans="1:22" ht="156" customHeight="1" x14ac:dyDescent="0.2">
      <c r="A10" s="129" t="s">
        <v>24</v>
      </c>
      <c r="B10" s="45">
        <v>0</v>
      </c>
      <c r="C10" s="46">
        <v>4</v>
      </c>
      <c r="D10" s="46">
        <v>0</v>
      </c>
      <c r="E10" s="46">
        <v>1</v>
      </c>
      <c r="F10" s="46">
        <v>2</v>
      </c>
      <c r="G10" s="60">
        <v>2</v>
      </c>
      <c r="H10" s="136" t="s">
        <v>151</v>
      </c>
      <c r="I10" s="65">
        <v>0</v>
      </c>
      <c r="J10" s="46">
        <v>4</v>
      </c>
      <c r="K10" s="46">
        <v>0</v>
      </c>
      <c r="L10" s="46">
        <v>1</v>
      </c>
      <c r="M10" s="46">
        <v>2</v>
      </c>
      <c r="N10" s="60">
        <v>3</v>
      </c>
      <c r="O10" s="23" t="s">
        <v>154</v>
      </c>
      <c r="P10" s="65">
        <v>0</v>
      </c>
      <c r="Q10" s="46">
        <v>4</v>
      </c>
      <c r="R10" s="46">
        <v>0</v>
      </c>
      <c r="S10" s="46">
        <v>1</v>
      </c>
      <c r="T10" s="46">
        <v>2</v>
      </c>
      <c r="U10" s="60">
        <v>3</v>
      </c>
      <c r="V10" s="23" t="s">
        <v>154</v>
      </c>
    </row>
    <row r="11" spans="1:22" ht="124" customHeight="1" thickBot="1" x14ac:dyDescent="0.25">
      <c r="A11" s="130" t="s">
        <v>25</v>
      </c>
      <c r="B11" s="53">
        <v>0</v>
      </c>
      <c r="C11" s="54">
        <v>4</v>
      </c>
      <c r="D11" s="54">
        <v>0</v>
      </c>
      <c r="E11" s="54">
        <v>1</v>
      </c>
      <c r="F11" s="54">
        <v>2</v>
      </c>
      <c r="G11" s="64">
        <v>3</v>
      </c>
      <c r="H11" s="39" t="s">
        <v>154</v>
      </c>
      <c r="I11" s="66">
        <v>0</v>
      </c>
      <c r="J11" s="54">
        <v>3</v>
      </c>
      <c r="K11" s="54">
        <v>0</v>
      </c>
      <c r="L11" s="54">
        <v>1</v>
      </c>
      <c r="M11" s="54">
        <v>1</v>
      </c>
      <c r="N11" s="64">
        <v>1</v>
      </c>
      <c r="O11" s="137" t="s">
        <v>152</v>
      </c>
      <c r="P11" s="66">
        <v>0</v>
      </c>
      <c r="Q11" s="54">
        <v>4</v>
      </c>
      <c r="R11" s="54">
        <v>0</v>
      </c>
      <c r="S11" s="54">
        <v>1</v>
      </c>
      <c r="T11" s="54">
        <v>2</v>
      </c>
      <c r="U11" s="64">
        <v>2</v>
      </c>
      <c r="V11" s="139" t="s">
        <v>151</v>
      </c>
    </row>
    <row r="12" spans="1:22" ht="77" customHeight="1" x14ac:dyDescent="0.2">
      <c r="A12" s="23" t="s">
        <v>26</v>
      </c>
      <c r="B12" s="89">
        <v>0</v>
      </c>
      <c r="C12" s="131">
        <v>5</v>
      </c>
      <c r="D12" s="131">
        <v>0</v>
      </c>
      <c r="E12" s="131">
        <v>1</v>
      </c>
      <c r="F12" s="132">
        <v>3</v>
      </c>
      <c r="G12" s="132">
        <v>3</v>
      </c>
      <c r="H12" s="135" t="s">
        <v>155</v>
      </c>
      <c r="I12" s="61">
        <v>0</v>
      </c>
      <c r="J12" s="62">
        <v>5</v>
      </c>
      <c r="K12" s="62">
        <v>0</v>
      </c>
      <c r="L12" s="62">
        <v>1</v>
      </c>
      <c r="M12" s="62">
        <v>3</v>
      </c>
      <c r="N12" s="90">
        <v>4</v>
      </c>
      <c r="O12" s="91" t="s">
        <v>156</v>
      </c>
      <c r="P12" s="61">
        <v>0</v>
      </c>
      <c r="Q12" s="62">
        <v>4</v>
      </c>
      <c r="R12" s="62">
        <v>0</v>
      </c>
      <c r="S12" s="62">
        <v>1</v>
      </c>
      <c r="T12" s="62">
        <v>2</v>
      </c>
      <c r="U12" s="63">
        <v>2</v>
      </c>
      <c r="V12" s="135" t="s">
        <v>157</v>
      </c>
    </row>
    <row r="13" spans="1:22" ht="77" customHeight="1" x14ac:dyDescent="0.2">
      <c r="A13" s="23" t="s">
        <v>73</v>
      </c>
      <c r="B13" s="56">
        <v>0</v>
      </c>
      <c r="C13" s="47">
        <v>8</v>
      </c>
      <c r="D13" s="47">
        <v>0</v>
      </c>
      <c r="E13" s="47">
        <v>1</v>
      </c>
      <c r="F13" s="119">
        <v>4</v>
      </c>
      <c r="G13" s="119">
        <v>4</v>
      </c>
      <c r="H13" s="136" t="s">
        <v>153</v>
      </c>
      <c r="I13" s="45">
        <v>0</v>
      </c>
      <c r="J13" s="46">
        <v>4</v>
      </c>
      <c r="K13" s="46">
        <v>0</v>
      </c>
      <c r="L13" s="46">
        <v>1</v>
      </c>
      <c r="M13" s="46">
        <v>2</v>
      </c>
      <c r="N13" s="49">
        <v>2</v>
      </c>
      <c r="O13" s="80" t="s">
        <v>151</v>
      </c>
      <c r="P13" s="45">
        <v>0</v>
      </c>
      <c r="Q13" s="46">
        <v>5</v>
      </c>
      <c r="R13" s="46">
        <v>0</v>
      </c>
      <c r="S13" s="46">
        <v>1</v>
      </c>
      <c r="T13" s="46">
        <v>3</v>
      </c>
      <c r="U13" s="60">
        <v>3</v>
      </c>
      <c r="V13" s="136" t="s">
        <v>158</v>
      </c>
    </row>
    <row r="14" spans="1:22" ht="106" customHeight="1" x14ac:dyDescent="0.2">
      <c r="A14" s="23" t="s">
        <v>43</v>
      </c>
      <c r="B14" s="56">
        <v>0</v>
      </c>
      <c r="C14" s="47">
        <v>3</v>
      </c>
      <c r="D14" s="47">
        <v>0</v>
      </c>
      <c r="E14" s="47">
        <v>1</v>
      </c>
      <c r="F14" s="119">
        <v>1</v>
      </c>
      <c r="G14" s="119">
        <v>1</v>
      </c>
      <c r="H14" s="136" t="s">
        <v>159</v>
      </c>
      <c r="I14" s="45">
        <v>0</v>
      </c>
      <c r="J14" s="46">
        <v>2</v>
      </c>
      <c r="K14" s="46">
        <v>0</v>
      </c>
      <c r="L14" s="46">
        <v>1</v>
      </c>
      <c r="M14" s="46">
        <v>0</v>
      </c>
      <c r="N14" s="49">
        <v>0</v>
      </c>
      <c r="O14" s="15"/>
      <c r="P14" s="45">
        <v>0</v>
      </c>
      <c r="Q14" s="46">
        <v>3</v>
      </c>
      <c r="R14" s="46">
        <v>0</v>
      </c>
      <c r="S14" s="46">
        <v>1</v>
      </c>
      <c r="T14" s="46">
        <v>1</v>
      </c>
      <c r="U14" s="60">
        <v>1</v>
      </c>
      <c r="V14" s="136" t="s">
        <v>159</v>
      </c>
    </row>
    <row r="15" spans="1:22" ht="128" customHeight="1" thickBot="1" x14ac:dyDescent="0.25">
      <c r="A15" s="23" t="s">
        <v>27</v>
      </c>
      <c r="B15" s="57">
        <v>0</v>
      </c>
      <c r="C15" s="58">
        <v>4</v>
      </c>
      <c r="D15" s="58">
        <v>0</v>
      </c>
      <c r="E15" s="58">
        <v>1</v>
      </c>
      <c r="F15" s="120">
        <v>2</v>
      </c>
      <c r="G15" s="120">
        <v>4</v>
      </c>
      <c r="H15" s="39" t="s">
        <v>160</v>
      </c>
      <c r="I15" s="53">
        <v>0</v>
      </c>
      <c r="J15" s="54">
        <v>4</v>
      </c>
      <c r="K15" s="54">
        <v>0</v>
      </c>
      <c r="L15" s="54">
        <v>1</v>
      </c>
      <c r="M15" s="54">
        <v>2</v>
      </c>
      <c r="N15" s="55">
        <v>5</v>
      </c>
      <c r="O15" s="19" t="s">
        <v>161</v>
      </c>
      <c r="P15" s="53">
        <v>0</v>
      </c>
      <c r="Q15" s="54">
        <v>5</v>
      </c>
      <c r="R15" s="54">
        <v>0</v>
      </c>
      <c r="S15" s="54">
        <v>1</v>
      </c>
      <c r="T15" s="54">
        <v>3</v>
      </c>
      <c r="U15" s="64">
        <v>3</v>
      </c>
      <c r="V15" s="137" t="s">
        <v>158</v>
      </c>
    </row>
  </sheetData>
  <mergeCells count="3">
    <mergeCell ref="B2:H2"/>
    <mergeCell ref="I2:O2"/>
    <mergeCell ref="P2:V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4A6E6-F480-FF46-A03B-6E633468F428}">
  <dimension ref="A1:AF107"/>
  <sheetViews>
    <sheetView topLeftCell="A94" zoomScale="139" workbookViewId="0">
      <selection activeCell="L100" sqref="L100"/>
    </sheetView>
  </sheetViews>
  <sheetFormatPr baseColWidth="10" defaultRowHeight="16" x14ac:dyDescent="0.2"/>
  <cols>
    <col min="1" max="1" width="26.83203125" customWidth="1"/>
    <col min="2" max="2" width="9.83203125" customWidth="1"/>
    <col min="3" max="3" width="10.33203125" customWidth="1"/>
    <col min="4" max="4" width="10.6640625" customWidth="1"/>
    <col min="5" max="6" width="10.33203125" customWidth="1"/>
    <col min="7" max="7" width="11.33203125" customWidth="1"/>
    <col min="8" max="8" width="48" customWidth="1"/>
    <col min="15" max="15" width="48.33203125" style="1" customWidth="1"/>
    <col min="22" max="22" width="43.83203125" style="1" customWidth="1"/>
    <col min="23" max="32" width="11.83203125" bestFit="1" customWidth="1"/>
  </cols>
  <sheetData>
    <row r="1" spans="1:32" ht="136" customHeight="1" x14ac:dyDescent="0.2">
      <c r="A1" s="8" t="s">
        <v>6</v>
      </c>
      <c r="B1" s="193" t="s">
        <v>4</v>
      </c>
      <c r="C1" s="193"/>
      <c r="D1" s="193"/>
    </row>
    <row r="2" spans="1:32" ht="123" customHeight="1" x14ac:dyDescent="0.2">
      <c r="A2" s="8" t="s">
        <v>36</v>
      </c>
      <c r="B2" s="193" t="s">
        <v>37</v>
      </c>
      <c r="C2" s="193"/>
      <c r="D2" s="193"/>
    </row>
    <row r="3" spans="1:32" ht="72" customHeight="1" x14ac:dyDescent="0.2">
      <c r="A3" s="8" t="s">
        <v>8</v>
      </c>
      <c r="B3" s="193" t="s">
        <v>2</v>
      </c>
      <c r="C3" s="193"/>
      <c r="D3" s="193"/>
    </row>
    <row r="4" spans="1:32" ht="80" customHeight="1" x14ac:dyDescent="0.2">
      <c r="A4" s="8" t="s">
        <v>11</v>
      </c>
      <c r="B4" s="193" t="s">
        <v>19</v>
      </c>
      <c r="C4" s="193"/>
      <c r="D4" s="193"/>
    </row>
    <row r="5" spans="1:32" ht="123" customHeight="1" x14ac:dyDescent="0.2">
      <c r="A5" s="8" t="s">
        <v>12</v>
      </c>
      <c r="B5" s="193" t="s">
        <v>3</v>
      </c>
      <c r="C5" s="193"/>
      <c r="D5" s="193"/>
    </row>
    <row r="6" spans="1:32" ht="34" customHeight="1" x14ac:dyDescent="0.2">
      <c r="A6" s="22" t="s">
        <v>29</v>
      </c>
      <c r="B6" s="194" t="s">
        <v>30</v>
      </c>
      <c r="C6" s="194"/>
      <c r="D6" s="194"/>
    </row>
    <row r="7" spans="1:32" ht="34" customHeight="1" x14ac:dyDescent="0.2">
      <c r="A7" s="22" t="s">
        <v>31</v>
      </c>
      <c r="B7" s="194" t="s">
        <v>32</v>
      </c>
      <c r="C7" s="194"/>
      <c r="D7" s="194"/>
    </row>
    <row r="9" spans="1:32" ht="48" customHeight="1" x14ac:dyDescent="0.2">
      <c r="A9" s="195" t="s">
        <v>69</v>
      </c>
      <c r="B9" s="195"/>
      <c r="C9" s="195"/>
      <c r="D9" s="195"/>
      <c r="E9" s="195"/>
      <c r="F9" s="195"/>
      <c r="G9" s="195"/>
      <c r="H9" s="195"/>
      <c r="I9" s="195"/>
      <c r="J9" s="195"/>
      <c r="K9" s="195"/>
      <c r="L9" s="195"/>
      <c r="M9" s="195"/>
      <c r="N9" s="195"/>
      <c r="O9" s="195"/>
      <c r="P9" s="195"/>
      <c r="Q9" s="195"/>
      <c r="R9" s="195"/>
      <c r="S9" s="195"/>
      <c r="T9" s="195"/>
      <c r="U9" s="195"/>
      <c r="V9" s="195"/>
      <c r="W9" s="195"/>
      <c r="X9" s="195"/>
      <c r="Y9" s="195"/>
      <c r="Z9" s="195"/>
      <c r="AA9" s="195"/>
      <c r="AB9" s="195"/>
      <c r="AC9" s="195"/>
      <c r="AD9" s="195"/>
      <c r="AE9" s="195"/>
      <c r="AF9" s="195"/>
    </row>
    <row r="10" spans="1:32" ht="17" thickBot="1" x14ac:dyDescent="0.25"/>
    <row r="11" spans="1:32" ht="23" thickBot="1" x14ac:dyDescent="0.25">
      <c r="B11" s="184" t="s">
        <v>14</v>
      </c>
      <c r="C11" s="185"/>
      <c r="D11" s="185"/>
      <c r="E11" s="185"/>
      <c r="F11" s="185"/>
      <c r="G11" s="185"/>
      <c r="H11" s="186"/>
      <c r="I11" s="184" t="s">
        <v>15</v>
      </c>
      <c r="J11" s="185"/>
      <c r="K11" s="185"/>
      <c r="L11" s="185"/>
      <c r="M11" s="185"/>
      <c r="N11" s="185"/>
      <c r="O11" s="186"/>
      <c r="P11" s="187" t="s">
        <v>16</v>
      </c>
      <c r="Q11" s="188"/>
      <c r="R11" s="188"/>
      <c r="S11" s="188"/>
      <c r="T11" s="188"/>
      <c r="U11" s="188"/>
      <c r="V11" s="189"/>
      <c r="W11" s="187" t="s">
        <v>17</v>
      </c>
      <c r="X11" s="188"/>
      <c r="Y11" s="188"/>
      <c r="Z11" s="188"/>
      <c r="AA11" s="189"/>
      <c r="AB11" s="187" t="s">
        <v>18</v>
      </c>
      <c r="AC11" s="188"/>
      <c r="AD11" s="188"/>
      <c r="AE11" s="188"/>
      <c r="AF11" s="189"/>
    </row>
    <row r="12" spans="1:32" ht="22" x14ac:dyDescent="0.3">
      <c r="A12" s="9" t="s">
        <v>5</v>
      </c>
      <c r="B12" s="5" t="s">
        <v>7</v>
      </c>
      <c r="C12" s="6" t="s">
        <v>21</v>
      </c>
      <c r="D12" s="6" t="s">
        <v>9</v>
      </c>
      <c r="E12" s="6" t="s">
        <v>10</v>
      </c>
      <c r="F12" s="176" t="s">
        <v>100</v>
      </c>
      <c r="G12" s="7" t="s">
        <v>101</v>
      </c>
      <c r="H12" s="14" t="s">
        <v>22</v>
      </c>
      <c r="I12" s="5" t="s">
        <v>7</v>
      </c>
      <c r="J12" s="6" t="s">
        <v>21</v>
      </c>
      <c r="K12" s="6" t="s">
        <v>9</v>
      </c>
      <c r="L12" s="6" t="s">
        <v>10</v>
      </c>
      <c r="M12" s="176" t="s">
        <v>100</v>
      </c>
      <c r="N12" s="7" t="s">
        <v>101</v>
      </c>
      <c r="O12" s="29" t="s">
        <v>22</v>
      </c>
      <c r="P12" s="3" t="s">
        <v>7</v>
      </c>
      <c r="Q12" s="2" t="s">
        <v>21</v>
      </c>
      <c r="R12" s="2" t="s">
        <v>9</v>
      </c>
      <c r="S12" s="2" t="s">
        <v>10</v>
      </c>
      <c r="T12" s="18" t="s">
        <v>100</v>
      </c>
      <c r="U12" s="4" t="s">
        <v>101</v>
      </c>
      <c r="V12" s="18" t="s">
        <v>22</v>
      </c>
      <c r="W12" s="10" t="s">
        <v>7</v>
      </c>
      <c r="X12" s="25" t="s">
        <v>21</v>
      </c>
      <c r="Y12" s="11" t="s">
        <v>9</v>
      </c>
      <c r="Z12" s="11" t="s">
        <v>10</v>
      </c>
      <c r="AA12" s="13" t="s">
        <v>13</v>
      </c>
      <c r="AB12" s="10" t="s">
        <v>7</v>
      </c>
      <c r="AC12" s="11" t="s">
        <v>21</v>
      </c>
      <c r="AD12" s="11" t="s">
        <v>9</v>
      </c>
      <c r="AE12" s="11" t="s">
        <v>10</v>
      </c>
      <c r="AF12" s="13" t="s">
        <v>13</v>
      </c>
    </row>
    <row r="13" spans="1:32" ht="83" customHeight="1" x14ac:dyDescent="0.2">
      <c r="A13" s="16" t="s">
        <v>0</v>
      </c>
      <c r="B13" s="45">
        <v>0</v>
      </c>
      <c r="C13" s="46">
        <v>2</v>
      </c>
      <c r="D13" s="47">
        <v>0</v>
      </c>
      <c r="E13" s="46">
        <v>1</v>
      </c>
      <c r="F13" s="60"/>
      <c r="G13" s="48">
        <v>0</v>
      </c>
      <c r="H13" s="15"/>
      <c r="I13" s="45">
        <v>0</v>
      </c>
      <c r="J13" s="46">
        <v>1</v>
      </c>
      <c r="K13" s="46">
        <v>0</v>
      </c>
      <c r="L13" s="46">
        <v>1</v>
      </c>
      <c r="M13" s="60"/>
      <c r="N13" s="49">
        <v>0</v>
      </c>
      <c r="O13" s="27"/>
      <c r="P13" s="45">
        <v>0</v>
      </c>
      <c r="Q13" s="46">
        <v>4</v>
      </c>
      <c r="R13" s="46">
        <v>0</v>
      </c>
      <c r="S13" s="46">
        <v>1</v>
      </c>
      <c r="T13" s="60"/>
      <c r="U13" s="49">
        <v>2</v>
      </c>
      <c r="V13" s="27" t="s">
        <v>58</v>
      </c>
      <c r="W13" s="81">
        <f>AVERAGE(B13,I13,P13)</f>
        <v>0</v>
      </c>
      <c r="X13" s="81">
        <f>AVERAGE(C13,J13,Q13)</f>
        <v>2.3333333333333335</v>
      </c>
      <c r="Y13" s="81">
        <f>AVERAGE(D13,K13,R13)</f>
        <v>0</v>
      </c>
      <c r="Z13" s="81">
        <f>AVERAGE(E13,L13,S13)</f>
        <v>1</v>
      </c>
      <c r="AA13" s="86">
        <f>AVERAGE(G13,N13,U13)</f>
        <v>0.66666666666666663</v>
      </c>
      <c r="AB13" s="82">
        <f>STDEV(B13,I13,P13)</f>
        <v>0</v>
      </c>
      <c r="AC13" s="82">
        <f>STDEV(C13,J13,Q13)</f>
        <v>1.5275252316519468</v>
      </c>
      <c r="AD13" s="82">
        <f>STDEV(D13,K13,R13)</f>
        <v>0</v>
      </c>
      <c r="AE13" s="82">
        <f>STDEV(E13,L13,S13)</f>
        <v>0</v>
      </c>
      <c r="AF13" s="83">
        <f>STDEV(G13,N13,U13)</f>
        <v>1.1547005383792517</v>
      </c>
    </row>
    <row r="14" spans="1:32" ht="106" customHeight="1" x14ac:dyDescent="0.2">
      <c r="A14" s="16" t="s">
        <v>1</v>
      </c>
      <c r="B14" s="45">
        <v>0</v>
      </c>
      <c r="C14" s="46">
        <v>2</v>
      </c>
      <c r="D14" s="46">
        <v>0</v>
      </c>
      <c r="E14" s="46">
        <v>1</v>
      </c>
      <c r="F14" s="60"/>
      <c r="G14" s="49">
        <v>0</v>
      </c>
      <c r="H14" s="15"/>
      <c r="I14" s="45">
        <v>0</v>
      </c>
      <c r="J14" s="46">
        <v>3</v>
      </c>
      <c r="K14" s="46">
        <v>0</v>
      </c>
      <c r="L14" s="46">
        <v>1</v>
      </c>
      <c r="M14" s="60"/>
      <c r="N14" s="49">
        <v>1</v>
      </c>
      <c r="O14" s="15" t="s">
        <v>48</v>
      </c>
      <c r="P14" s="45">
        <v>0</v>
      </c>
      <c r="Q14" s="46">
        <v>1</v>
      </c>
      <c r="R14" s="46">
        <v>0</v>
      </c>
      <c r="S14" s="46">
        <v>0</v>
      </c>
      <c r="T14" s="60"/>
      <c r="U14" s="49">
        <v>0</v>
      </c>
      <c r="V14" s="15" t="s">
        <v>59</v>
      </c>
      <c r="W14" s="81">
        <f>AVERAGE(B14,I14,P14)</f>
        <v>0</v>
      </c>
      <c r="X14" s="81">
        <f t="shared" ref="X14:X16" si="0">AVERAGE(C14,J14,Q14)</f>
        <v>2</v>
      </c>
      <c r="Y14" s="81">
        <f>AVERAGE(D14,K14,R14)</f>
        <v>0</v>
      </c>
      <c r="Z14" s="81">
        <f>AVERAGE(E14,L14,S14)</f>
        <v>0.66666666666666663</v>
      </c>
      <c r="AA14" s="86">
        <f t="shared" ref="AA14:AA16" si="1">AVERAGE(G14,N14,U14)</f>
        <v>0.33333333333333331</v>
      </c>
      <c r="AB14" s="82">
        <f>STDEV(B14,I14,P14)</f>
        <v>0</v>
      </c>
      <c r="AC14" s="82">
        <f t="shared" ref="AC14:AC16" si="2">STDEV(C14,J14,Q14)</f>
        <v>1</v>
      </c>
      <c r="AD14" s="82">
        <f>STDEV(D14,K14,R14)</f>
        <v>0</v>
      </c>
      <c r="AE14" s="82">
        <f>STDEV(E14,L14,S14)</f>
        <v>0.57735026918962584</v>
      </c>
      <c r="AF14" s="83">
        <f t="shared" ref="AF14:AF16" si="3">STDEV(G14,N14,U14)</f>
        <v>0.57735026918962584</v>
      </c>
    </row>
    <row r="15" spans="1:32" ht="106" customHeight="1" x14ac:dyDescent="0.2">
      <c r="A15" s="41" t="s">
        <v>71</v>
      </c>
      <c r="B15" s="50">
        <v>0</v>
      </c>
      <c r="C15" s="51">
        <v>2</v>
      </c>
      <c r="D15" s="51">
        <v>0</v>
      </c>
      <c r="E15" s="51">
        <v>1</v>
      </c>
      <c r="F15" s="70"/>
      <c r="G15" s="52">
        <v>0</v>
      </c>
      <c r="H15" s="42"/>
      <c r="I15" s="50">
        <v>0</v>
      </c>
      <c r="J15" s="51">
        <v>3</v>
      </c>
      <c r="K15" s="51">
        <v>0</v>
      </c>
      <c r="L15" s="51">
        <v>1</v>
      </c>
      <c r="M15" s="70"/>
      <c r="N15" s="52">
        <v>1</v>
      </c>
      <c r="O15" s="15" t="s">
        <v>48</v>
      </c>
      <c r="P15" s="50">
        <v>0</v>
      </c>
      <c r="Q15" s="51">
        <v>1</v>
      </c>
      <c r="R15" s="51">
        <v>0</v>
      </c>
      <c r="S15" s="51">
        <v>1</v>
      </c>
      <c r="T15" s="70"/>
      <c r="U15" s="52">
        <v>0</v>
      </c>
      <c r="V15" s="42"/>
      <c r="W15" s="81">
        <f>AVERAGE(B15,I15,P15)</f>
        <v>0</v>
      </c>
      <c r="X15" s="81">
        <f t="shared" ref="X15" si="4">AVERAGE(C15,J15,Q15)</f>
        <v>2</v>
      </c>
      <c r="Y15" s="81">
        <f t="shared" ref="Y15" si="5">AVERAGE(D15,K15,R15)</f>
        <v>0</v>
      </c>
      <c r="Z15" s="81">
        <f t="shared" ref="Z15" si="6">AVERAGE(E15,L15,S15)</f>
        <v>1</v>
      </c>
      <c r="AA15" s="86">
        <f t="shared" ref="AA15" si="7">AVERAGE(G15,N15,U15)</f>
        <v>0.33333333333333331</v>
      </c>
      <c r="AB15" s="82">
        <f>STDEV(B15,I15,P15)</f>
        <v>0</v>
      </c>
      <c r="AC15" s="82">
        <f t="shared" ref="AC15" si="8">STDEV(C15,J15,Q15)</f>
        <v>1</v>
      </c>
      <c r="AD15" s="82">
        <f>STDEV(D15,K15,R15)</f>
        <v>0</v>
      </c>
      <c r="AE15" s="82">
        <f t="shared" ref="AE15" si="9">STDEV(E15,L15,S15)</f>
        <v>0</v>
      </c>
      <c r="AF15" s="83">
        <f t="shared" ref="AF15" si="10">STDEV(G15,N15,U15)</f>
        <v>0.57735026918962584</v>
      </c>
    </row>
    <row r="16" spans="1:32" ht="106" customHeight="1" thickBot="1" x14ac:dyDescent="0.25">
      <c r="A16" s="17" t="s">
        <v>23</v>
      </c>
      <c r="B16" s="53">
        <v>0</v>
      </c>
      <c r="C16" s="54">
        <v>4</v>
      </c>
      <c r="D16" s="54">
        <v>0</v>
      </c>
      <c r="E16" s="54">
        <v>1</v>
      </c>
      <c r="F16" s="64"/>
      <c r="G16" s="55">
        <v>2</v>
      </c>
      <c r="H16" s="19" t="s">
        <v>39</v>
      </c>
      <c r="I16" s="53">
        <v>0</v>
      </c>
      <c r="J16" s="54">
        <v>4</v>
      </c>
      <c r="K16" s="54">
        <v>0</v>
      </c>
      <c r="L16" s="54">
        <v>1</v>
      </c>
      <c r="M16" s="64"/>
      <c r="N16" s="55">
        <v>2</v>
      </c>
      <c r="O16" s="28" t="s">
        <v>45</v>
      </c>
      <c r="P16" s="53">
        <v>0</v>
      </c>
      <c r="Q16" s="54">
        <v>4</v>
      </c>
      <c r="R16" s="54">
        <v>0</v>
      </c>
      <c r="S16" s="54">
        <v>1</v>
      </c>
      <c r="T16" s="64"/>
      <c r="U16" s="55">
        <v>2</v>
      </c>
      <c r="V16" s="28" t="s">
        <v>58</v>
      </c>
      <c r="W16" s="87">
        <f>AVERAGE(B16,I16,P16)</f>
        <v>0</v>
      </c>
      <c r="X16" s="87">
        <f t="shared" si="0"/>
        <v>4</v>
      </c>
      <c r="Y16" s="87">
        <f>AVERAGE(D16,K16,R16)</f>
        <v>0</v>
      </c>
      <c r="Z16" s="87">
        <f>AVERAGE(E16,L16,S16)</f>
        <v>1</v>
      </c>
      <c r="AA16" s="88">
        <f t="shared" si="1"/>
        <v>2</v>
      </c>
      <c r="AB16" s="84">
        <f>STDEV(B16,I16,P16)</f>
        <v>0</v>
      </c>
      <c r="AC16" s="84">
        <f t="shared" si="2"/>
        <v>0</v>
      </c>
      <c r="AD16" s="84">
        <f>STDEV(D16,K16,R16)</f>
        <v>0</v>
      </c>
      <c r="AE16" s="84">
        <f>STDEV(E16,L16,S16)</f>
        <v>0</v>
      </c>
      <c r="AF16" s="85">
        <f t="shared" si="3"/>
        <v>0</v>
      </c>
    </row>
    <row r="17" spans="1:32" x14ac:dyDescent="0.2">
      <c r="AB17" s="26"/>
    </row>
    <row r="19" spans="1:32" ht="17" thickBot="1" x14ac:dyDescent="0.25"/>
    <row r="20" spans="1:32" ht="23" thickBot="1" x14ac:dyDescent="0.25">
      <c r="B20" s="184" t="s">
        <v>14</v>
      </c>
      <c r="C20" s="185"/>
      <c r="D20" s="185"/>
      <c r="E20" s="185"/>
      <c r="F20" s="185"/>
      <c r="G20" s="185"/>
      <c r="H20" s="185"/>
      <c r="I20" s="196" t="s">
        <v>15</v>
      </c>
      <c r="J20" s="197"/>
      <c r="K20" s="197"/>
      <c r="L20" s="197"/>
      <c r="M20" s="197"/>
      <c r="N20" s="197"/>
      <c r="O20" s="186"/>
      <c r="P20" s="187" t="s">
        <v>16</v>
      </c>
      <c r="Q20" s="188"/>
      <c r="R20" s="188"/>
      <c r="S20" s="188"/>
      <c r="T20" s="188"/>
      <c r="U20" s="188"/>
      <c r="V20" s="189"/>
      <c r="W20" s="187" t="s">
        <v>17</v>
      </c>
      <c r="X20" s="188"/>
      <c r="Y20" s="188"/>
      <c r="Z20" s="188"/>
      <c r="AA20" s="189"/>
      <c r="AB20" s="187" t="s">
        <v>18</v>
      </c>
      <c r="AC20" s="188"/>
      <c r="AD20" s="188"/>
      <c r="AE20" s="188"/>
      <c r="AF20" s="189"/>
    </row>
    <row r="21" spans="1:32" ht="22" x14ac:dyDescent="0.3">
      <c r="A21" s="9" t="s">
        <v>5</v>
      </c>
      <c r="B21" s="5" t="s">
        <v>7</v>
      </c>
      <c r="C21" s="6" t="s">
        <v>21</v>
      </c>
      <c r="D21" s="6" t="s">
        <v>9</v>
      </c>
      <c r="E21" s="6" t="s">
        <v>10</v>
      </c>
      <c r="F21" s="176" t="s">
        <v>100</v>
      </c>
      <c r="G21" s="7" t="s">
        <v>13</v>
      </c>
      <c r="H21" s="14" t="s">
        <v>22</v>
      </c>
      <c r="I21" s="33" t="s">
        <v>7</v>
      </c>
      <c r="J21" s="12" t="s">
        <v>21</v>
      </c>
      <c r="K21" s="12" t="s">
        <v>9</v>
      </c>
      <c r="L21" s="12" t="s">
        <v>10</v>
      </c>
      <c r="M21" s="35" t="s">
        <v>100</v>
      </c>
      <c r="N21" s="34" t="s">
        <v>13</v>
      </c>
      <c r="O21" s="30" t="s">
        <v>22</v>
      </c>
      <c r="P21" s="3" t="s">
        <v>7</v>
      </c>
      <c r="Q21" s="2" t="s">
        <v>21</v>
      </c>
      <c r="R21" s="2" t="s">
        <v>9</v>
      </c>
      <c r="S21" s="2" t="s">
        <v>10</v>
      </c>
      <c r="T21" s="18" t="s">
        <v>100</v>
      </c>
      <c r="U21" s="4" t="s">
        <v>13</v>
      </c>
      <c r="V21" s="18" t="s">
        <v>22</v>
      </c>
      <c r="W21" s="10" t="s">
        <v>7</v>
      </c>
      <c r="X21" s="25" t="s">
        <v>21</v>
      </c>
      <c r="Y21" s="11" t="s">
        <v>9</v>
      </c>
      <c r="Z21" s="11" t="s">
        <v>10</v>
      </c>
      <c r="AA21" s="13" t="s">
        <v>13</v>
      </c>
      <c r="AB21" s="10" t="s">
        <v>7</v>
      </c>
      <c r="AC21" s="11" t="s">
        <v>21</v>
      </c>
      <c r="AD21" s="11" t="s">
        <v>9</v>
      </c>
      <c r="AE21" s="11" t="s">
        <v>10</v>
      </c>
      <c r="AF21" s="13" t="s">
        <v>13</v>
      </c>
    </row>
    <row r="22" spans="1:32" ht="104" customHeight="1" x14ac:dyDescent="0.2">
      <c r="A22" s="16" t="s">
        <v>20</v>
      </c>
      <c r="B22" s="45">
        <v>0</v>
      </c>
      <c r="C22" s="46">
        <v>6</v>
      </c>
      <c r="D22" s="46">
        <v>0</v>
      </c>
      <c r="E22" s="46">
        <v>1</v>
      </c>
      <c r="F22" s="60"/>
      <c r="G22" s="49">
        <v>4</v>
      </c>
      <c r="H22" s="15" t="s">
        <v>40</v>
      </c>
      <c r="I22" s="45">
        <v>0</v>
      </c>
      <c r="J22" s="46">
        <v>3</v>
      </c>
      <c r="K22" s="46">
        <v>0</v>
      </c>
      <c r="L22" s="46">
        <v>1</v>
      </c>
      <c r="M22" s="60"/>
      <c r="N22" s="49">
        <v>1</v>
      </c>
      <c r="O22" s="32" t="s">
        <v>52</v>
      </c>
      <c r="P22" s="45">
        <v>2</v>
      </c>
      <c r="Q22" s="46">
        <v>5</v>
      </c>
      <c r="R22" s="46">
        <v>0</v>
      </c>
      <c r="S22" s="46">
        <v>0</v>
      </c>
      <c r="T22" s="60"/>
      <c r="U22" s="49">
        <v>2</v>
      </c>
      <c r="V22" s="15" t="s">
        <v>62</v>
      </c>
      <c r="W22" s="81">
        <f>AVERAGE(B22,I22,P22)</f>
        <v>0.66666666666666663</v>
      </c>
      <c r="X22" s="81">
        <f t="shared" ref="X22:X24" si="11">AVERAGE(C22,J22,Q22)</f>
        <v>4.666666666666667</v>
      </c>
      <c r="Y22" s="81">
        <f>AVERAGE(D22,K22,R22)</f>
        <v>0</v>
      </c>
      <c r="Z22" s="81">
        <f>AVERAGE(E22,L22,S22)</f>
        <v>0.66666666666666663</v>
      </c>
      <c r="AA22" s="81">
        <f t="shared" ref="AA22:AA24" si="12">AVERAGE(G22,N22,U22)</f>
        <v>2.3333333333333335</v>
      </c>
      <c r="AB22" s="82">
        <f>STDEV(B22,I22,P22)</f>
        <v>1.1547005383792517</v>
      </c>
      <c r="AC22" s="82">
        <f t="shared" ref="AC22:AC24" si="13">STDEV(C22,J22,Q22)</f>
        <v>1.5275252316519474</v>
      </c>
      <c r="AD22" s="82">
        <f>STDEV(D22,K22,R22)</f>
        <v>0</v>
      </c>
      <c r="AE22" s="82">
        <f>STDEV(E22,L22,S22)</f>
        <v>0.57735026918962584</v>
      </c>
      <c r="AF22" s="83">
        <f t="shared" ref="AF22:AF24" si="14">STDEV(G22,N22,U22)</f>
        <v>1.5275252316519468</v>
      </c>
    </row>
    <row r="23" spans="1:32" ht="104" customHeight="1" x14ac:dyDescent="0.2">
      <c r="A23" s="16" t="s">
        <v>72</v>
      </c>
      <c r="B23" s="45">
        <v>0</v>
      </c>
      <c r="C23" s="46">
        <v>4</v>
      </c>
      <c r="D23" s="46">
        <v>0</v>
      </c>
      <c r="E23" s="46">
        <v>1</v>
      </c>
      <c r="F23" s="60"/>
      <c r="G23" s="49">
        <v>3</v>
      </c>
      <c r="H23" s="15" t="s">
        <v>74</v>
      </c>
      <c r="I23" s="45">
        <v>0</v>
      </c>
      <c r="J23" s="46">
        <v>4</v>
      </c>
      <c r="K23" s="46">
        <v>0</v>
      </c>
      <c r="L23" s="46">
        <v>1</v>
      </c>
      <c r="M23" s="60"/>
      <c r="N23" s="49">
        <v>3</v>
      </c>
      <c r="O23" s="15" t="s">
        <v>74</v>
      </c>
      <c r="P23" s="45">
        <v>4</v>
      </c>
      <c r="Q23" s="46">
        <v>7</v>
      </c>
      <c r="R23" s="46">
        <v>0</v>
      </c>
      <c r="S23" s="46">
        <v>0</v>
      </c>
      <c r="T23" s="60"/>
      <c r="U23" s="49">
        <v>2</v>
      </c>
      <c r="V23" s="15" t="s">
        <v>76</v>
      </c>
      <c r="W23" s="81">
        <f>AVERAGE(B23,I23,P23)</f>
        <v>1.3333333333333333</v>
      </c>
      <c r="X23" s="81">
        <f t="shared" ref="X23" si="15">AVERAGE(C23,J23,Q23)</f>
        <v>5</v>
      </c>
      <c r="Y23" s="81">
        <f t="shared" ref="Y23" si="16">AVERAGE(D23,K23,R23)</f>
        <v>0</v>
      </c>
      <c r="Z23" s="81">
        <f t="shared" ref="Z23" si="17">AVERAGE(E23,L23,S23)</f>
        <v>0.66666666666666663</v>
      </c>
      <c r="AA23" s="81">
        <f t="shared" ref="AA23" si="18">AVERAGE(G23,N23,U23)</f>
        <v>2.6666666666666665</v>
      </c>
      <c r="AB23" s="82">
        <f>STDEV(B23,I23,P23)</f>
        <v>2.3094010767585034</v>
      </c>
      <c r="AC23" s="82">
        <f t="shared" ref="AC23" si="19">STDEV(C23,J23,Q23)</f>
        <v>1.7320508075688772</v>
      </c>
      <c r="AD23" s="82">
        <f t="shared" ref="AD23" si="20">STDEV(D23,K23,R23)</f>
        <v>0</v>
      </c>
      <c r="AE23" s="82">
        <f t="shared" ref="AE23" si="21">STDEV(E23,L23,S23)</f>
        <v>0.57735026918962584</v>
      </c>
      <c r="AF23" s="83">
        <f t="shared" ref="AF23" si="22">STDEV(G23,N23,U23)</f>
        <v>0.57735026918962629</v>
      </c>
    </row>
    <row r="24" spans="1:32" ht="156" customHeight="1" x14ac:dyDescent="0.2">
      <c r="A24" s="16" t="s">
        <v>24</v>
      </c>
      <c r="B24" s="45">
        <v>0</v>
      </c>
      <c r="C24" s="46">
        <v>4</v>
      </c>
      <c r="D24" s="46">
        <v>0</v>
      </c>
      <c r="E24" s="46">
        <v>1</v>
      </c>
      <c r="F24" s="60"/>
      <c r="G24" s="49">
        <v>2</v>
      </c>
      <c r="H24" s="15" t="s">
        <v>41</v>
      </c>
      <c r="I24" s="45">
        <v>0</v>
      </c>
      <c r="J24" s="46">
        <v>4</v>
      </c>
      <c r="K24" s="46">
        <v>0</v>
      </c>
      <c r="L24" s="46">
        <v>1</v>
      </c>
      <c r="M24" s="60"/>
      <c r="N24" s="49">
        <v>3</v>
      </c>
      <c r="O24" s="31" t="s">
        <v>54</v>
      </c>
      <c r="P24" s="45">
        <v>0</v>
      </c>
      <c r="Q24" s="46">
        <v>4</v>
      </c>
      <c r="R24" s="46">
        <v>0</v>
      </c>
      <c r="S24" s="46">
        <v>1</v>
      </c>
      <c r="T24" s="60"/>
      <c r="U24" s="49">
        <v>3</v>
      </c>
      <c r="V24" s="15" t="s">
        <v>64</v>
      </c>
      <c r="W24" s="81">
        <f>AVERAGE(B24,I24,P24)</f>
        <v>0</v>
      </c>
      <c r="X24" s="81">
        <f t="shared" si="11"/>
        <v>4</v>
      </c>
      <c r="Y24" s="81">
        <f>AVERAGE(D24,K24,R24)</f>
        <v>0</v>
      </c>
      <c r="Z24" s="81">
        <f>AVERAGE(E24,L24,S24)</f>
        <v>1</v>
      </c>
      <c r="AA24" s="81">
        <f t="shared" si="12"/>
        <v>2.6666666666666665</v>
      </c>
      <c r="AB24" s="82">
        <f>STDEV(B24,I24,P24)</f>
        <v>0</v>
      </c>
      <c r="AC24" s="82">
        <f t="shared" si="13"/>
        <v>0</v>
      </c>
      <c r="AD24" s="82">
        <f>STDEV(D24,K24,R24)</f>
        <v>0</v>
      </c>
      <c r="AE24" s="82">
        <f>STDEV(E24,L24,S24)</f>
        <v>0</v>
      </c>
      <c r="AF24" s="83">
        <f t="shared" si="14"/>
        <v>0.57735026918962629</v>
      </c>
    </row>
    <row r="25" spans="1:32" ht="124" customHeight="1" thickBot="1" x14ac:dyDescent="0.25">
      <c r="A25" s="17" t="s">
        <v>25</v>
      </c>
      <c r="B25" s="53">
        <v>0</v>
      </c>
      <c r="C25" s="54">
        <v>4</v>
      </c>
      <c r="D25" s="54">
        <v>0</v>
      </c>
      <c r="E25" s="54">
        <v>1</v>
      </c>
      <c r="F25" s="64"/>
      <c r="G25" s="55">
        <v>3</v>
      </c>
      <c r="H25" s="19" t="s">
        <v>65</v>
      </c>
      <c r="I25" s="53">
        <v>0</v>
      </c>
      <c r="J25" s="54">
        <v>3</v>
      </c>
      <c r="K25" s="54">
        <v>0</v>
      </c>
      <c r="L25" s="54">
        <v>1</v>
      </c>
      <c r="M25" s="64"/>
      <c r="N25" s="55">
        <v>1</v>
      </c>
      <c r="O25" s="40" t="s">
        <v>66</v>
      </c>
      <c r="P25" s="53">
        <v>0</v>
      </c>
      <c r="Q25" s="54">
        <v>4</v>
      </c>
      <c r="R25" s="54">
        <v>0</v>
      </c>
      <c r="S25" s="54">
        <v>1</v>
      </c>
      <c r="T25" s="64"/>
      <c r="U25" s="55">
        <v>2</v>
      </c>
      <c r="V25" s="28" t="s">
        <v>67</v>
      </c>
      <c r="W25" s="87">
        <f>AVERAGE(B25,I32,P25)</f>
        <v>0</v>
      </c>
      <c r="X25" s="87">
        <f>AVERAGE(C25,J32,Q25)</f>
        <v>4.333333333333333</v>
      </c>
      <c r="Y25" s="87">
        <f>AVERAGE(D25,K32,R25)</f>
        <v>0</v>
      </c>
      <c r="Z25" s="87">
        <f>AVERAGE(E25,L32,S25)</f>
        <v>1</v>
      </c>
      <c r="AA25" s="87">
        <f>AVERAGE(G25,N32,U25)</f>
        <v>3</v>
      </c>
      <c r="AB25" s="84">
        <f>STDEV(B25,I32,P25)</f>
        <v>0</v>
      </c>
      <c r="AC25" s="84">
        <f>STDEV(C25,J32,Q25)</f>
        <v>0.57735026918962473</v>
      </c>
      <c r="AD25" s="84">
        <f>STDEV(D25,K32,R25)</f>
        <v>0</v>
      </c>
      <c r="AE25" s="84">
        <f>STDEV(E25,L32,S25)</f>
        <v>0</v>
      </c>
      <c r="AF25" s="85">
        <f>STDEV(G25,N32,U25)</f>
        <v>1</v>
      </c>
    </row>
    <row r="29" spans="1:32" ht="17" thickBot="1" x14ac:dyDescent="0.25"/>
    <row r="30" spans="1:32" ht="23" thickBot="1" x14ac:dyDescent="0.25">
      <c r="B30" s="184" t="s">
        <v>14</v>
      </c>
      <c r="C30" s="185"/>
      <c r="D30" s="185"/>
      <c r="E30" s="185"/>
      <c r="F30" s="185"/>
      <c r="G30" s="185"/>
      <c r="H30" s="186"/>
      <c r="I30" s="184" t="s">
        <v>15</v>
      </c>
      <c r="J30" s="185"/>
      <c r="K30" s="185"/>
      <c r="L30" s="185"/>
      <c r="M30" s="185"/>
      <c r="N30" s="185"/>
      <c r="O30" s="186"/>
      <c r="P30" s="187" t="s">
        <v>16</v>
      </c>
      <c r="Q30" s="188"/>
      <c r="R30" s="188"/>
      <c r="S30" s="188"/>
      <c r="T30" s="188"/>
      <c r="U30" s="188"/>
      <c r="V30" s="189"/>
      <c r="W30" s="187" t="s">
        <v>17</v>
      </c>
      <c r="X30" s="188"/>
      <c r="Y30" s="188"/>
      <c r="Z30" s="188"/>
      <c r="AA30" s="189"/>
      <c r="AB30" s="187" t="s">
        <v>18</v>
      </c>
      <c r="AC30" s="188"/>
      <c r="AD30" s="188"/>
      <c r="AE30" s="188"/>
      <c r="AF30" s="189"/>
    </row>
    <row r="31" spans="1:32" ht="23" thickBot="1" x14ac:dyDescent="0.35">
      <c r="A31" s="9" t="s">
        <v>5</v>
      </c>
      <c r="B31" s="5" t="s">
        <v>7</v>
      </c>
      <c r="C31" s="6" t="s">
        <v>21</v>
      </c>
      <c r="D31" s="6" t="s">
        <v>9</v>
      </c>
      <c r="E31" s="6" t="s">
        <v>10</v>
      </c>
      <c r="F31" s="176" t="s">
        <v>100</v>
      </c>
      <c r="G31" s="7" t="s">
        <v>13</v>
      </c>
      <c r="H31" s="14" t="s">
        <v>22</v>
      </c>
      <c r="I31" s="33" t="s">
        <v>7</v>
      </c>
      <c r="J31" s="12" t="s">
        <v>21</v>
      </c>
      <c r="K31" s="12" t="s">
        <v>9</v>
      </c>
      <c r="L31" s="12" t="s">
        <v>10</v>
      </c>
      <c r="M31" s="35" t="s">
        <v>100</v>
      </c>
      <c r="N31" s="35" t="s">
        <v>13</v>
      </c>
      <c r="O31" s="37" t="s">
        <v>22</v>
      </c>
      <c r="P31" s="36" t="s">
        <v>7</v>
      </c>
      <c r="Q31" s="2" t="s">
        <v>21</v>
      </c>
      <c r="R31" s="2" t="s">
        <v>9</v>
      </c>
      <c r="S31" s="2" t="s">
        <v>10</v>
      </c>
      <c r="T31" s="18" t="s">
        <v>100</v>
      </c>
      <c r="U31" s="4" t="s">
        <v>13</v>
      </c>
      <c r="V31" s="18" t="s">
        <v>22</v>
      </c>
      <c r="W31" s="10" t="s">
        <v>7</v>
      </c>
      <c r="X31" s="25" t="s">
        <v>21</v>
      </c>
      <c r="Y31" s="11" t="s">
        <v>9</v>
      </c>
      <c r="Z31" s="11" t="s">
        <v>10</v>
      </c>
      <c r="AA31" s="13" t="s">
        <v>13</v>
      </c>
      <c r="AB31" s="10" t="s">
        <v>7</v>
      </c>
      <c r="AC31" s="11" t="s">
        <v>21</v>
      </c>
      <c r="AD31" s="11" t="s">
        <v>9</v>
      </c>
      <c r="AE31" s="11" t="s">
        <v>10</v>
      </c>
      <c r="AF31" s="13" t="s">
        <v>13</v>
      </c>
    </row>
    <row r="32" spans="1:32" ht="77" customHeight="1" x14ac:dyDescent="0.2">
      <c r="A32" s="20" t="s">
        <v>26</v>
      </c>
      <c r="B32" s="56">
        <v>0</v>
      </c>
      <c r="C32" s="47">
        <v>5</v>
      </c>
      <c r="D32" s="47">
        <v>0</v>
      </c>
      <c r="E32" s="47">
        <v>1</v>
      </c>
      <c r="F32" s="119"/>
      <c r="G32" s="48">
        <v>3</v>
      </c>
      <c r="H32" s="15" t="s">
        <v>42</v>
      </c>
      <c r="I32" s="45">
        <v>0</v>
      </c>
      <c r="J32" s="46">
        <v>5</v>
      </c>
      <c r="K32" s="46">
        <v>0</v>
      </c>
      <c r="L32" s="46">
        <v>1</v>
      </c>
      <c r="M32" s="60"/>
      <c r="N32" s="60">
        <v>4</v>
      </c>
      <c r="O32" s="23" t="s">
        <v>55</v>
      </c>
      <c r="P32" s="65">
        <v>0</v>
      </c>
      <c r="Q32" s="46">
        <v>4</v>
      </c>
      <c r="R32" s="46">
        <v>0</v>
      </c>
      <c r="S32" s="46">
        <v>1</v>
      </c>
      <c r="T32" s="60"/>
      <c r="U32" s="49">
        <v>2</v>
      </c>
      <c r="V32" s="27" t="s">
        <v>45</v>
      </c>
      <c r="W32" s="81">
        <f>AVERAGE(B32,I32,P32)</f>
        <v>0</v>
      </c>
      <c r="X32" s="81">
        <f>AVERAGE(C32,J32,Q32)</f>
        <v>4.666666666666667</v>
      </c>
      <c r="Y32" s="81">
        <f>AVERAGE(D32,K32,R32)</f>
        <v>0</v>
      </c>
      <c r="Z32" s="81">
        <f>AVERAGE(E32,L32,S32)</f>
        <v>1</v>
      </c>
      <c r="AA32" s="81">
        <f t="shared" ref="AA32" si="23">AVERAGE(G32,N32,U32)</f>
        <v>3</v>
      </c>
      <c r="AB32" s="82">
        <f>STDEV(B32,I32,P32)</f>
        <v>0</v>
      </c>
      <c r="AC32" s="82">
        <f>STDEV(C32,J32,Q32)</f>
        <v>0.57735026918962784</v>
      </c>
      <c r="AD32" s="82">
        <f>STDEV(D32,K32,R32)</f>
        <v>0</v>
      </c>
      <c r="AE32" s="82">
        <f>STDEV(E32,L32,S32)</f>
        <v>0</v>
      </c>
      <c r="AF32" s="82">
        <f t="shared" ref="AF32" si="24">STDEV(G32,N32,U32)</f>
        <v>1</v>
      </c>
    </row>
    <row r="33" spans="1:32" ht="77" customHeight="1" x14ac:dyDescent="0.2">
      <c r="A33" s="20" t="s">
        <v>73</v>
      </c>
      <c r="B33" s="56">
        <v>0</v>
      </c>
      <c r="C33" s="47">
        <v>8</v>
      </c>
      <c r="D33" s="47">
        <v>0</v>
      </c>
      <c r="E33" s="47">
        <v>1</v>
      </c>
      <c r="F33" s="119"/>
      <c r="G33" s="48">
        <v>4</v>
      </c>
      <c r="H33" s="15" t="s">
        <v>40</v>
      </c>
      <c r="I33" s="61">
        <v>0</v>
      </c>
      <c r="J33" s="62">
        <v>4</v>
      </c>
      <c r="K33" s="62">
        <v>0</v>
      </c>
      <c r="L33" s="62">
        <v>1</v>
      </c>
      <c r="M33" s="63"/>
      <c r="N33" s="63">
        <v>2</v>
      </c>
      <c r="O33" s="38" t="s">
        <v>77</v>
      </c>
      <c r="P33" s="65">
        <v>0</v>
      </c>
      <c r="Q33" s="46">
        <v>5</v>
      </c>
      <c r="R33" s="46">
        <v>0</v>
      </c>
      <c r="S33" s="46">
        <v>1</v>
      </c>
      <c r="T33" s="60"/>
      <c r="U33" s="49">
        <v>3</v>
      </c>
      <c r="V33" s="27" t="s">
        <v>28</v>
      </c>
      <c r="W33" s="81">
        <f>AVERAGE(B33,I33,P33)</f>
        <v>0</v>
      </c>
      <c r="X33" s="81">
        <f t="shared" ref="X33" si="25">AVERAGE(C33,J33,Q33)</f>
        <v>5.666666666666667</v>
      </c>
      <c r="Y33" s="81">
        <f t="shared" ref="Y33" si="26">AVERAGE(D33,K33,R33)</f>
        <v>0</v>
      </c>
      <c r="Z33" s="81">
        <f t="shared" ref="Z33" si="27">AVERAGE(E33,L33,S33)</f>
        <v>1</v>
      </c>
      <c r="AA33" s="81">
        <f t="shared" ref="AA33" si="28">AVERAGE(G33,N33,U33)</f>
        <v>3</v>
      </c>
      <c r="AB33" s="82">
        <f>STDEV(B33,I33,P33)</f>
        <v>0</v>
      </c>
      <c r="AC33" s="82">
        <f t="shared" ref="AC33" si="29">STDEV(C33,J33,Q33)</f>
        <v>2.0816659994661335</v>
      </c>
      <c r="AD33" s="82">
        <f t="shared" ref="AD33" si="30">STDEV(D33,K33,R33)</f>
        <v>0</v>
      </c>
      <c r="AE33" s="82">
        <f t="shared" ref="AE33" si="31">STDEV(E33,L33,S33)</f>
        <v>0</v>
      </c>
      <c r="AF33" s="82">
        <f t="shared" ref="AF33" si="32">STDEV(G33,N33,U33)</f>
        <v>1</v>
      </c>
    </row>
    <row r="34" spans="1:32" ht="106" customHeight="1" x14ac:dyDescent="0.2">
      <c r="A34" s="20" t="s">
        <v>43</v>
      </c>
      <c r="B34" s="56">
        <v>0</v>
      </c>
      <c r="C34" s="47">
        <v>3</v>
      </c>
      <c r="D34" s="47">
        <v>0</v>
      </c>
      <c r="E34" s="47">
        <v>1</v>
      </c>
      <c r="F34" s="119"/>
      <c r="G34" s="48">
        <v>1</v>
      </c>
      <c r="H34" s="15" t="s">
        <v>44</v>
      </c>
      <c r="I34" s="61">
        <v>0</v>
      </c>
      <c r="J34" s="62">
        <v>2</v>
      </c>
      <c r="K34" s="62">
        <v>0</v>
      </c>
      <c r="L34" s="62">
        <v>1</v>
      </c>
      <c r="M34" s="63"/>
      <c r="N34" s="63">
        <v>0</v>
      </c>
      <c r="O34" s="38"/>
      <c r="P34" s="65">
        <v>0</v>
      </c>
      <c r="Q34" s="46">
        <v>3</v>
      </c>
      <c r="R34" s="46">
        <v>0</v>
      </c>
      <c r="S34" s="46">
        <v>1</v>
      </c>
      <c r="T34" s="60"/>
      <c r="U34" s="49">
        <v>1</v>
      </c>
      <c r="V34" s="27" t="s">
        <v>68</v>
      </c>
      <c r="W34" s="81">
        <f>AVERAGE(B34,I34,P34)</f>
        <v>0</v>
      </c>
      <c r="X34" s="81">
        <f t="shared" ref="X34:X35" si="33">AVERAGE(C34,J34,Q34)</f>
        <v>2.6666666666666665</v>
      </c>
      <c r="Y34" s="81">
        <f>AVERAGE(D34,K34,R34)</f>
        <v>0</v>
      </c>
      <c r="Z34" s="81">
        <f>AVERAGE(E34,L34,S34)</f>
        <v>1</v>
      </c>
      <c r="AA34" s="81">
        <f t="shared" ref="AA34:AA35" si="34">AVERAGE(G34,N34,U34)</f>
        <v>0.66666666666666663</v>
      </c>
      <c r="AB34" s="82">
        <f>STDEV(B34,I34,P34)</f>
        <v>0</v>
      </c>
      <c r="AC34" s="82">
        <f t="shared" ref="AC34:AC35" si="35">STDEV(C34,J34,Q34)</f>
        <v>0.57735026918962629</v>
      </c>
      <c r="AD34" s="82">
        <f>STDEV(D34,K34,R34)</f>
        <v>0</v>
      </c>
      <c r="AE34" s="82">
        <f>STDEV(E34,L34,S34)</f>
        <v>0</v>
      </c>
      <c r="AF34" s="83">
        <f t="shared" ref="AF34:AF35" si="36">STDEV(G34,N34,U34)</f>
        <v>0.57735026918962584</v>
      </c>
    </row>
    <row r="35" spans="1:32" ht="128" customHeight="1" thickBot="1" x14ac:dyDescent="0.25">
      <c r="A35" s="20" t="s">
        <v>27</v>
      </c>
      <c r="B35" s="57">
        <v>0</v>
      </c>
      <c r="C35" s="58">
        <v>4</v>
      </c>
      <c r="D35" s="58">
        <v>0</v>
      </c>
      <c r="E35" s="58">
        <v>1</v>
      </c>
      <c r="F35" s="120"/>
      <c r="G35" s="59">
        <v>4</v>
      </c>
      <c r="H35" s="19" t="s">
        <v>46</v>
      </c>
      <c r="I35" s="53">
        <v>0</v>
      </c>
      <c r="J35" s="54">
        <v>4</v>
      </c>
      <c r="K35" s="54">
        <v>0</v>
      </c>
      <c r="L35" s="54">
        <v>1</v>
      </c>
      <c r="M35" s="64"/>
      <c r="N35" s="64">
        <v>5</v>
      </c>
      <c r="O35" s="39" t="s">
        <v>56</v>
      </c>
      <c r="P35" s="66">
        <v>0</v>
      </c>
      <c r="Q35" s="54">
        <v>5</v>
      </c>
      <c r="R35" s="54">
        <v>0</v>
      </c>
      <c r="S35" s="54">
        <v>1</v>
      </c>
      <c r="T35" s="64"/>
      <c r="U35" s="55">
        <v>3</v>
      </c>
      <c r="V35" s="19" t="s">
        <v>28</v>
      </c>
      <c r="W35" s="87">
        <f>AVERAGE(B35,I35,P35)</f>
        <v>0</v>
      </c>
      <c r="X35" s="87">
        <f t="shared" si="33"/>
        <v>4.333333333333333</v>
      </c>
      <c r="Y35" s="87">
        <f>AVERAGE(D35,K35,R35)</f>
        <v>0</v>
      </c>
      <c r="Z35" s="87">
        <f>AVERAGE(E35,L35,S35)</f>
        <v>1</v>
      </c>
      <c r="AA35" s="87">
        <f t="shared" si="34"/>
        <v>4</v>
      </c>
      <c r="AB35" s="84">
        <f>STDEV(B35,I35,P35)</f>
        <v>0</v>
      </c>
      <c r="AC35" s="84">
        <f t="shared" si="35"/>
        <v>0.57735026918962473</v>
      </c>
      <c r="AD35" s="84">
        <f>STDEV(D35,K35,R35)</f>
        <v>0</v>
      </c>
      <c r="AE35" s="84">
        <f>STDEV(E35,L35,S35)</f>
        <v>0</v>
      </c>
      <c r="AF35" s="85">
        <f t="shared" si="36"/>
        <v>1</v>
      </c>
    </row>
    <row r="42" spans="1:32" ht="64" thickBot="1" x14ac:dyDescent="0.25">
      <c r="A42" s="195" t="s">
        <v>70</v>
      </c>
      <c r="B42" s="195"/>
      <c r="C42" s="195"/>
      <c r="D42" s="195"/>
      <c r="E42" s="195"/>
      <c r="F42" s="195"/>
      <c r="G42" s="195"/>
      <c r="H42" s="195"/>
      <c r="I42" s="195"/>
      <c r="J42" s="195"/>
      <c r="K42" s="195"/>
      <c r="L42" s="195"/>
      <c r="M42" s="195"/>
      <c r="N42" s="195"/>
      <c r="O42" s="195"/>
      <c r="P42" s="195"/>
      <c r="Q42" s="195"/>
      <c r="R42" s="195"/>
      <c r="S42" s="195"/>
      <c r="T42" s="195"/>
      <c r="U42" s="195"/>
      <c r="V42" s="195"/>
      <c r="W42" s="195"/>
      <c r="X42" s="195"/>
      <c r="Y42" s="195"/>
      <c r="Z42" s="195"/>
      <c r="AA42" s="195"/>
      <c r="AB42" s="195"/>
      <c r="AC42" s="195"/>
      <c r="AD42" s="195"/>
      <c r="AE42" s="195"/>
      <c r="AF42" s="195"/>
    </row>
    <row r="43" spans="1:32" ht="17" thickBot="1" x14ac:dyDescent="0.25"/>
    <row r="44" spans="1:32" ht="23" thickBot="1" x14ac:dyDescent="0.25">
      <c r="B44" s="184" t="s">
        <v>14</v>
      </c>
      <c r="C44" s="185"/>
      <c r="D44" s="185"/>
      <c r="E44" s="185"/>
      <c r="F44" s="185"/>
      <c r="G44" s="185"/>
      <c r="H44" s="186"/>
      <c r="I44" s="184" t="s">
        <v>15</v>
      </c>
      <c r="J44" s="185"/>
      <c r="K44" s="185"/>
      <c r="L44" s="185"/>
      <c r="M44" s="185"/>
      <c r="N44" s="185"/>
      <c r="O44" s="186"/>
      <c r="P44" s="187" t="s">
        <v>16</v>
      </c>
      <c r="Q44" s="188"/>
      <c r="R44" s="188"/>
      <c r="S44" s="188"/>
      <c r="T44" s="188"/>
      <c r="U44" s="188"/>
      <c r="V44" s="189"/>
      <c r="W44" s="187" t="s">
        <v>17</v>
      </c>
      <c r="X44" s="188"/>
      <c r="Y44" s="188"/>
      <c r="Z44" s="188"/>
      <c r="AA44" s="189"/>
      <c r="AB44" s="187" t="s">
        <v>18</v>
      </c>
      <c r="AC44" s="188"/>
      <c r="AD44" s="188"/>
      <c r="AE44" s="188"/>
      <c r="AF44" s="189"/>
    </row>
    <row r="45" spans="1:32" ht="23" thickBot="1" x14ac:dyDescent="0.35">
      <c r="A45" s="95" t="s">
        <v>5</v>
      </c>
      <c r="B45" s="96" t="s">
        <v>7</v>
      </c>
      <c r="C45" s="97" t="s">
        <v>21</v>
      </c>
      <c r="D45" s="97" t="s">
        <v>9</v>
      </c>
      <c r="E45" s="97" t="s">
        <v>10</v>
      </c>
      <c r="F45" s="121" t="s">
        <v>100</v>
      </c>
      <c r="G45" s="98" t="s">
        <v>101</v>
      </c>
      <c r="H45" s="99" t="s">
        <v>22</v>
      </c>
      <c r="I45" s="96" t="s">
        <v>7</v>
      </c>
      <c r="J45" s="97" t="s">
        <v>21</v>
      </c>
      <c r="K45" s="97" t="s">
        <v>9</v>
      </c>
      <c r="L45" s="97" t="s">
        <v>10</v>
      </c>
      <c r="M45" s="121" t="s">
        <v>100</v>
      </c>
      <c r="N45" s="98" t="s">
        <v>101</v>
      </c>
      <c r="O45" s="108" t="s">
        <v>22</v>
      </c>
      <c r="P45" s="101" t="s">
        <v>7</v>
      </c>
      <c r="Q45" s="102" t="s">
        <v>21</v>
      </c>
      <c r="R45" s="102" t="s">
        <v>9</v>
      </c>
      <c r="S45" s="102" t="s">
        <v>10</v>
      </c>
      <c r="T45" s="104" t="s">
        <v>100</v>
      </c>
      <c r="U45" s="103" t="s">
        <v>101</v>
      </c>
      <c r="V45" s="104" t="s">
        <v>22</v>
      </c>
      <c r="W45" s="101" t="s">
        <v>7</v>
      </c>
      <c r="X45" s="105" t="s">
        <v>21</v>
      </c>
      <c r="Y45" s="102" t="s">
        <v>9</v>
      </c>
      <c r="Z45" s="102" t="s">
        <v>10</v>
      </c>
      <c r="AA45" s="103" t="s">
        <v>13</v>
      </c>
      <c r="AB45" s="101" t="s">
        <v>7</v>
      </c>
      <c r="AC45" s="102" t="s">
        <v>21</v>
      </c>
      <c r="AD45" s="102" t="s">
        <v>9</v>
      </c>
      <c r="AE45" s="102" t="s">
        <v>10</v>
      </c>
      <c r="AF45" s="103" t="s">
        <v>13</v>
      </c>
    </row>
    <row r="46" spans="1:32" ht="69" thickBot="1" x14ac:dyDescent="0.25">
      <c r="A46" s="106" t="s">
        <v>79</v>
      </c>
      <c r="B46" s="61">
        <v>0</v>
      </c>
      <c r="C46" s="62">
        <v>2</v>
      </c>
      <c r="D46" s="62">
        <v>0</v>
      </c>
      <c r="E46" s="62">
        <v>1</v>
      </c>
      <c r="F46" s="63"/>
      <c r="G46" s="90">
        <v>0</v>
      </c>
      <c r="H46" s="91"/>
      <c r="I46" s="61">
        <v>1</v>
      </c>
      <c r="J46" s="62">
        <v>2</v>
      </c>
      <c r="K46" s="62">
        <v>0</v>
      </c>
      <c r="L46" s="62">
        <v>1</v>
      </c>
      <c r="M46" s="63"/>
      <c r="N46" s="90">
        <v>1</v>
      </c>
      <c r="O46" s="91" t="s">
        <v>47</v>
      </c>
      <c r="P46" s="61">
        <v>0</v>
      </c>
      <c r="Q46" s="62">
        <v>4</v>
      </c>
      <c r="R46" s="62">
        <v>0</v>
      </c>
      <c r="S46" s="62">
        <v>1</v>
      </c>
      <c r="T46" s="63"/>
      <c r="U46" s="90">
        <v>0</v>
      </c>
      <c r="V46" s="107"/>
      <c r="W46" s="93">
        <f>AVERAGE(B46,I46,P46)</f>
        <v>0.33333333333333331</v>
      </c>
      <c r="X46" s="93">
        <f t="shared" ref="X46:X49" si="37">AVERAGE(C46,J46,Q46)</f>
        <v>2.6666666666666665</v>
      </c>
      <c r="Y46" s="93">
        <f t="shared" ref="Y46:Y49" si="38">AVERAGE(D46,K46,R46)</f>
        <v>0</v>
      </c>
      <c r="Z46" s="93">
        <f t="shared" ref="Z46:Z49" si="39">AVERAGE(E46,L46,S46)</f>
        <v>1</v>
      </c>
      <c r="AA46" s="94">
        <f t="shared" ref="AA46:AA49" si="40">AVERAGE(G46,N46,U46)</f>
        <v>0.33333333333333331</v>
      </c>
      <c r="AB46" s="82">
        <f>STDEV(B46,I46,P46)</f>
        <v>0.57735026918962584</v>
      </c>
      <c r="AC46" s="82">
        <f t="shared" ref="AC46:AC49" si="41">STDEV(C46,J46,Q46)</f>
        <v>1.1547005383792517</v>
      </c>
      <c r="AD46" s="82">
        <f>STDEV(D46,K46,R46)</f>
        <v>0</v>
      </c>
      <c r="AE46" s="82">
        <f t="shared" ref="AE46:AE49" si="42">STDEV(E46,L46,S46)</f>
        <v>0</v>
      </c>
      <c r="AF46" s="83">
        <f t="shared" ref="AF46:AF49" si="43">STDEV(G46,N46,U46)</f>
        <v>0.57735026918962584</v>
      </c>
    </row>
    <row r="47" spans="1:32" ht="52" thickBot="1" x14ac:dyDescent="0.25">
      <c r="A47" s="24" t="s">
        <v>86</v>
      </c>
      <c r="B47" s="45">
        <v>1</v>
      </c>
      <c r="C47" s="46">
        <v>2</v>
      </c>
      <c r="D47" s="67">
        <v>0</v>
      </c>
      <c r="E47" s="46">
        <v>0</v>
      </c>
      <c r="F47" s="60"/>
      <c r="G47" s="49">
        <v>0</v>
      </c>
      <c r="H47" s="15" t="s">
        <v>87</v>
      </c>
      <c r="I47" s="45">
        <v>0</v>
      </c>
      <c r="J47" s="46">
        <v>2</v>
      </c>
      <c r="K47" s="46">
        <v>0</v>
      </c>
      <c r="L47" s="46">
        <v>1</v>
      </c>
      <c r="M47" s="60"/>
      <c r="N47" s="49">
        <v>0</v>
      </c>
      <c r="O47" s="15"/>
      <c r="P47" s="45">
        <v>0</v>
      </c>
      <c r="Q47" s="46">
        <v>3</v>
      </c>
      <c r="R47" s="46">
        <v>0</v>
      </c>
      <c r="S47" s="46">
        <v>1</v>
      </c>
      <c r="T47" s="60"/>
      <c r="U47" s="49">
        <v>0</v>
      </c>
      <c r="V47" s="27"/>
      <c r="W47" s="93">
        <f t="shared" ref="W47:W48" si="44">AVERAGE(B47,I47,P47)</f>
        <v>0.33333333333333331</v>
      </c>
      <c r="X47" s="93">
        <f t="shared" ref="X47:X48" si="45">AVERAGE(C47,J47,Q47)</f>
        <v>2.3333333333333335</v>
      </c>
      <c r="Y47" s="93">
        <f t="shared" ref="Y47:Y48" si="46">AVERAGE(D47,K47,R47)</f>
        <v>0</v>
      </c>
      <c r="Z47" s="93">
        <f t="shared" ref="Z47:Z48" si="47">AVERAGE(E47,L47,S47)</f>
        <v>0.66666666666666663</v>
      </c>
      <c r="AA47" s="94">
        <f t="shared" ref="AA47:AA48" si="48">AVERAGE(G47,N47,U47)</f>
        <v>0</v>
      </c>
      <c r="AB47" s="82">
        <f t="shared" ref="AB47:AB48" si="49">STDEV(B47,I47,P47)</f>
        <v>0.57735026918962584</v>
      </c>
      <c r="AC47" s="82">
        <f t="shared" ref="AC47:AC48" si="50">STDEV(C47,J47,Q47)</f>
        <v>0.57735026918962629</v>
      </c>
      <c r="AD47" s="82">
        <f t="shared" ref="AD47:AD48" si="51">STDEV(D47,K47,R47)</f>
        <v>0</v>
      </c>
      <c r="AE47" s="82">
        <f t="shared" ref="AE47:AE48" si="52">STDEV(E47,L47,S47)</f>
        <v>0.57735026918962584</v>
      </c>
      <c r="AF47" s="83">
        <f t="shared" ref="AF47:AF48" si="53">STDEV(G47,N47,U47)</f>
        <v>0</v>
      </c>
    </row>
    <row r="48" spans="1:32" ht="86" thickBot="1" x14ac:dyDescent="0.25">
      <c r="A48" s="72" t="s">
        <v>78</v>
      </c>
      <c r="B48" s="45">
        <v>4</v>
      </c>
      <c r="C48" s="46">
        <v>4</v>
      </c>
      <c r="D48" s="46">
        <v>0</v>
      </c>
      <c r="E48" s="46">
        <v>1</v>
      </c>
      <c r="F48" s="60"/>
      <c r="G48" s="49">
        <v>0</v>
      </c>
      <c r="H48" s="15" t="s">
        <v>89</v>
      </c>
      <c r="I48" s="45">
        <v>4</v>
      </c>
      <c r="J48" s="46">
        <v>4</v>
      </c>
      <c r="K48" s="46">
        <v>0</v>
      </c>
      <c r="L48" s="46">
        <v>1</v>
      </c>
      <c r="M48" s="60"/>
      <c r="N48" s="49">
        <v>0</v>
      </c>
      <c r="O48" s="15" t="s">
        <v>89</v>
      </c>
      <c r="P48" s="77">
        <v>3</v>
      </c>
      <c r="Q48" s="78">
        <v>5</v>
      </c>
      <c r="R48" s="78">
        <v>0</v>
      </c>
      <c r="S48" s="78">
        <v>1</v>
      </c>
      <c r="T48" s="177"/>
      <c r="U48" s="79">
        <v>0</v>
      </c>
      <c r="V48" s="80" t="s">
        <v>88</v>
      </c>
      <c r="W48" s="93">
        <f t="shared" si="44"/>
        <v>3.6666666666666665</v>
      </c>
      <c r="X48" s="93">
        <f t="shared" si="45"/>
        <v>4.333333333333333</v>
      </c>
      <c r="Y48" s="93">
        <f t="shared" si="46"/>
        <v>0</v>
      </c>
      <c r="Z48" s="93">
        <f t="shared" si="47"/>
        <v>1</v>
      </c>
      <c r="AA48" s="94">
        <f t="shared" si="48"/>
        <v>0</v>
      </c>
      <c r="AB48" s="82">
        <f t="shared" si="49"/>
        <v>0.57735026918962473</v>
      </c>
      <c r="AC48" s="82">
        <f t="shared" si="50"/>
        <v>0.57735026918962473</v>
      </c>
      <c r="AD48" s="82">
        <f t="shared" si="51"/>
        <v>0</v>
      </c>
      <c r="AE48" s="82">
        <f t="shared" si="52"/>
        <v>0</v>
      </c>
      <c r="AF48" s="83">
        <f t="shared" si="53"/>
        <v>0</v>
      </c>
    </row>
    <row r="49" spans="1:32" ht="205" thickBot="1" x14ac:dyDescent="0.25">
      <c r="A49" s="24" t="s">
        <v>34</v>
      </c>
      <c r="B49" s="53">
        <v>0</v>
      </c>
      <c r="C49" s="54">
        <f>7</f>
        <v>7</v>
      </c>
      <c r="D49" s="54">
        <v>0</v>
      </c>
      <c r="E49" s="54">
        <v>1</v>
      </c>
      <c r="F49" s="64"/>
      <c r="G49" s="55">
        <v>3</v>
      </c>
      <c r="H49" s="19" t="s">
        <v>38</v>
      </c>
      <c r="I49" s="53">
        <v>2</v>
      </c>
      <c r="J49" s="54">
        <v>2</v>
      </c>
      <c r="K49" s="54">
        <v>0</v>
      </c>
      <c r="L49" s="54">
        <v>0</v>
      </c>
      <c r="M49" s="64"/>
      <c r="N49" s="55">
        <v>2</v>
      </c>
      <c r="O49" s="19" t="s">
        <v>50</v>
      </c>
      <c r="P49" s="53">
        <v>3</v>
      </c>
      <c r="Q49" s="54">
        <v>3</v>
      </c>
      <c r="R49" s="54">
        <v>0</v>
      </c>
      <c r="S49" s="54">
        <v>0</v>
      </c>
      <c r="T49" s="64"/>
      <c r="U49" s="55">
        <v>1</v>
      </c>
      <c r="V49" s="19" t="s">
        <v>60</v>
      </c>
      <c r="W49" s="87">
        <f>AVERAGE(B49,I49,P49)</f>
        <v>1.6666666666666667</v>
      </c>
      <c r="X49" s="87">
        <f t="shared" si="37"/>
        <v>4</v>
      </c>
      <c r="Y49" s="87">
        <f t="shared" si="38"/>
        <v>0</v>
      </c>
      <c r="Z49" s="87">
        <f t="shared" si="39"/>
        <v>0.33333333333333331</v>
      </c>
      <c r="AA49" s="88">
        <f t="shared" si="40"/>
        <v>2</v>
      </c>
      <c r="AB49" s="84">
        <f>STDEV(B49,I49,P49)</f>
        <v>1.5275252316519465</v>
      </c>
      <c r="AC49" s="84">
        <f t="shared" si="41"/>
        <v>2.6457513110645907</v>
      </c>
      <c r="AD49" s="84">
        <f>STDEV(D49,K49,R49)</f>
        <v>0</v>
      </c>
      <c r="AE49" s="84">
        <f t="shared" si="42"/>
        <v>0.57735026918962584</v>
      </c>
      <c r="AF49" s="85">
        <f t="shared" si="43"/>
        <v>1</v>
      </c>
    </row>
    <row r="50" spans="1:32" x14ac:dyDescent="0.2">
      <c r="AB50" s="26"/>
    </row>
    <row r="53" spans="1:32" ht="22" x14ac:dyDescent="0.2">
      <c r="B53" s="184" t="s">
        <v>14</v>
      </c>
      <c r="C53" s="185"/>
      <c r="D53" s="185"/>
      <c r="E53" s="185"/>
      <c r="F53" s="185"/>
      <c r="G53" s="185"/>
      <c r="H53" s="185"/>
      <c r="I53" s="196" t="s">
        <v>15</v>
      </c>
      <c r="J53" s="197"/>
      <c r="K53" s="197"/>
      <c r="L53" s="197"/>
      <c r="M53" s="197"/>
      <c r="N53" s="197"/>
      <c r="O53" s="186"/>
      <c r="P53" s="187" t="s">
        <v>16</v>
      </c>
      <c r="Q53" s="188"/>
      <c r="R53" s="188"/>
      <c r="S53" s="188"/>
      <c r="T53" s="188"/>
      <c r="U53" s="188"/>
      <c r="V53" s="189"/>
      <c r="W53" s="187" t="s">
        <v>17</v>
      </c>
      <c r="X53" s="188"/>
      <c r="Y53" s="188"/>
      <c r="Z53" s="188"/>
      <c r="AA53" s="189"/>
      <c r="AB53" s="187" t="s">
        <v>18</v>
      </c>
      <c r="AC53" s="188"/>
      <c r="AD53" s="188"/>
      <c r="AE53" s="188"/>
      <c r="AF53" s="189"/>
    </row>
    <row r="54" spans="1:32" ht="22" x14ac:dyDescent="0.3">
      <c r="A54" s="95" t="s">
        <v>5</v>
      </c>
      <c r="B54" s="96" t="s">
        <v>7</v>
      </c>
      <c r="C54" s="97" t="s">
        <v>21</v>
      </c>
      <c r="D54" s="97" t="s">
        <v>9</v>
      </c>
      <c r="E54" s="97" t="s">
        <v>10</v>
      </c>
      <c r="F54" s="121" t="s">
        <v>100</v>
      </c>
      <c r="G54" s="98" t="s">
        <v>101</v>
      </c>
      <c r="H54" s="99" t="s">
        <v>22</v>
      </c>
      <c r="I54" s="96" t="s">
        <v>7</v>
      </c>
      <c r="J54" s="97" t="s">
        <v>21</v>
      </c>
      <c r="K54" s="97" t="s">
        <v>9</v>
      </c>
      <c r="L54" s="97" t="s">
        <v>10</v>
      </c>
      <c r="M54" s="121" t="s">
        <v>100</v>
      </c>
      <c r="N54" s="98" t="s">
        <v>101</v>
      </c>
      <c r="O54" s="100" t="s">
        <v>22</v>
      </c>
      <c r="P54" s="101" t="s">
        <v>7</v>
      </c>
      <c r="Q54" s="102" t="s">
        <v>21</v>
      </c>
      <c r="R54" s="102" t="s">
        <v>9</v>
      </c>
      <c r="S54" s="102" t="s">
        <v>10</v>
      </c>
      <c r="T54" s="104" t="s">
        <v>100</v>
      </c>
      <c r="U54" s="103" t="s">
        <v>101</v>
      </c>
      <c r="V54" s="104" t="s">
        <v>22</v>
      </c>
      <c r="W54" s="101" t="s">
        <v>7</v>
      </c>
      <c r="X54" s="105" t="s">
        <v>21</v>
      </c>
      <c r="Y54" s="102" t="s">
        <v>9</v>
      </c>
      <c r="Z54" s="102" t="s">
        <v>10</v>
      </c>
      <c r="AA54" s="103" t="s">
        <v>13</v>
      </c>
      <c r="AB54" s="101" t="s">
        <v>7</v>
      </c>
      <c r="AC54" s="102" t="s">
        <v>21</v>
      </c>
      <c r="AD54" s="102" t="s">
        <v>9</v>
      </c>
      <c r="AE54" s="102" t="s">
        <v>10</v>
      </c>
      <c r="AF54" s="103" t="s">
        <v>13</v>
      </c>
    </row>
    <row r="55" spans="1:32" ht="187" x14ac:dyDescent="0.2">
      <c r="A55" s="38" t="s">
        <v>35</v>
      </c>
      <c r="B55" s="89">
        <v>1</v>
      </c>
      <c r="C55" s="62">
        <v>5</v>
      </c>
      <c r="D55" s="62">
        <v>0</v>
      </c>
      <c r="E55" s="62">
        <v>0</v>
      </c>
      <c r="F55" s="63"/>
      <c r="G55" s="90">
        <v>4</v>
      </c>
      <c r="H55" s="91" t="s">
        <v>49</v>
      </c>
      <c r="I55" s="61">
        <v>0</v>
      </c>
      <c r="J55" s="62">
        <v>6</v>
      </c>
      <c r="K55" s="62">
        <v>0</v>
      </c>
      <c r="L55" s="62">
        <v>1</v>
      </c>
      <c r="M55" s="63"/>
      <c r="N55" s="90">
        <v>3</v>
      </c>
      <c r="O55" s="92" t="s">
        <v>51</v>
      </c>
      <c r="P55" s="61">
        <v>0</v>
      </c>
      <c r="Q55" s="62">
        <v>6</v>
      </c>
      <c r="R55" s="62">
        <v>0</v>
      </c>
      <c r="S55" s="62">
        <v>1</v>
      </c>
      <c r="T55" s="63"/>
      <c r="U55" s="90">
        <v>3</v>
      </c>
      <c r="V55" s="91" t="s">
        <v>61</v>
      </c>
      <c r="W55" s="93">
        <f>AVERAGE(B55,I55,P55)</f>
        <v>0.33333333333333331</v>
      </c>
      <c r="X55" s="93">
        <f>AVERAGE(C55,J55,Q55)</f>
        <v>5.666666666666667</v>
      </c>
      <c r="Y55" s="93">
        <f>AVERAGE(D55,K55,R55)</f>
        <v>0</v>
      </c>
      <c r="Z55" s="93">
        <f>AVERAGE(E55,L55,S55)</f>
        <v>0.66666666666666663</v>
      </c>
      <c r="AA55" s="94">
        <f>AVERAGE(G55,N55,U55)</f>
        <v>3.3333333333333335</v>
      </c>
      <c r="AB55" s="82">
        <f>STDEV(B55,I55,P55)</f>
        <v>0.57735026918962584</v>
      </c>
      <c r="AC55" s="82">
        <f>STDEV(C55,J55,Q55)</f>
        <v>0.57735026918962584</v>
      </c>
      <c r="AD55" s="82">
        <f>STDEV(D55,K55,R55)</f>
        <v>0</v>
      </c>
      <c r="AE55" s="82">
        <f>STDEV(E55,L55,S55)</f>
        <v>0.57735026918962584</v>
      </c>
      <c r="AF55" s="83">
        <f>STDEV(G55,N55,U55)</f>
        <v>0.57735026918962473</v>
      </c>
    </row>
    <row r="56" spans="1:32" ht="136" x14ac:dyDescent="0.2">
      <c r="A56" s="23" t="s">
        <v>81</v>
      </c>
      <c r="B56" s="56">
        <v>0</v>
      </c>
      <c r="C56" s="46">
        <v>5</v>
      </c>
      <c r="D56" s="46">
        <v>0</v>
      </c>
      <c r="E56" s="46">
        <v>1</v>
      </c>
      <c r="F56" s="60"/>
      <c r="G56" s="49">
        <v>1</v>
      </c>
      <c r="H56" s="15" t="s">
        <v>90</v>
      </c>
      <c r="I56" s="45">
        <v>0</v>
      </c>
      <c r="J56" s="46">
        <v>6</v>
      </c>
      <c r="K56" s="46">
        <v>0</v>
      </c>
      <c r="L56" s="46">
        <v>1</v>
      </c>
      <c r="M56" s="60"/>
      <c r="N56" s="49">
        <v>4</v>
      </c>
      <c r="O56" s="31" t="s">
        <v>91</v>
      </c>
      <c r="P56" s="45">
        <v>0</v>
      </c>
      <c r="Q56" s="46">
        <v>6</v>
      </c>
      <c r="R56" s="46">
        <v>0</v>
      </c>
      <c r="S56" s="46">
        <v>1</v>
      </c>
      <c r="T56" s="60"/>
      <c r="U56" s="49">
        <v>3</v>
      </c>
      <c r="V56" s="31" t="s">
        <v>92</v>
      </c>
      <c r="W56" s="81">
        <f t="shared" ref="W56:W58" si="54">AVERAGE(B56,I56,P56)</f>
        <v>0</v>
      </c>
      <c r="X56" s="81">
        <f t="shared" ref="X56:X58" si="55">AVERAGE(C56,J56,Q56)</f>
        <v>5.666666666666667</v>
      </c>
      <c r="Y56" s="81">
        <f t="shared" ref="Y56:Y58" si="56">AVERAGE(D56,K56,R56)</f>
        <v>0</v>
      </c>
      <c r="Z56" s="81">
        <f t="shared" ref="Z56:Z58" si="57">AVERAGE(E56,L56,S56)</f>
        <v>1</v>
      </c>
      <c r="AA56" s="86">
        <f t="shared" ref="AA56:AA58" si="58">AVERAGE(G56,N56,U56)</f>
        <v>2.6666666666666665</v>
      </c>
      <c r="AB56" s="82">
        <f t="shared" ref="AB56:AB57" si="59">STDEV(B56,I56,P56)</f>
        <v>0</v>
      </c>
      <c r="AC56" s="82">
        <f t="shared" ref="AC56:AC57" si="60">STDEV(C56,J56,Q56)</f>
        <v>0.57735026918962584</v>
      </c>
      <c r="AD56" s="82">
        <f t="shared" ref="AD56:AD57" si="61">STDEV(D56,K56,R56)</f>
        <v>0</v>
      </c>
      <c r="AE56" s="82">
        <f t="shared" ref="AE56:AE57" si="62">STDEV(E56,L56,S56)</f>
        <v>0</v>
      </c>
      <c r="AF56" s="83">
        <f t="shared" ref="AF56:AF57" si="63">STDEV(G56,N56,U56)</f>
        <v>1.5275252316519468</v>
      </c>
    </row>
    <row r="57" spans="1:32" ht="153" x14ac:dyDescent="0.2">
      <c r="A57" s="23" t="s">
        <v>80</v>
      </c>
      <c r="B57" s="56">
        <v>0</v>
      </c>
      <c r="C57" s="46">
        <v>5</v>
      </c>
      <c r="D57" s="46">
        <v>0</v>
      </c>
      <c r="E57" s="46">
        <v>1</v>
      </c>
      <c r="F57" s="60"/>
      <c r="G57" s="49">
        <v>2</v>
      </c>
      <c r="H57" s="15" t="s">
        <v>41</v>
      </c>
      <c r="I57" s="45">
        <v>2</v>
      </c>
      <c r="J57" s="46">
        <v>6</v>
      </c>
      <c r="K57" s="46">
        <v>0</v>
      </c>
      <c r="L57" s="46">
        <v>0</v>
      </c>
      <c r="M57" s="60"/>
      <c r="N57" s="49">
        <v>2</v>
      </c>
      <c r="O57" s="31" t="s">
        <v>93</v>
      </c>
      <c r="P57" s="45">
        <v>1</v>
      </c>
      <c r="Q57" s="46">
        <v>5</v>
      </c>
      <c r="R57" s="46">
        <v>0</v>
      </c>
      <c r="S57" s="46">
        <v>0</v>
      </c>
      <c r="T57" s="60"/>
      <c r="U57" s="49">
        <v>1</v>
      </c>
      <c r="V57" s="15" t="s">
        <v>94</v>
      </c>
      <c r="W57" s="81">
        <f>AVERAGE(B57,I57,P57)</f>
        <v>1</v>
      </c>
      <c r="X57" s="81">
        <f t="shared" si="55"/>
        <v>5.333333333333333</v>
      </c>
      <c r="Y57" s="81">
        <f t="shared" si="56"/>
        <v>0</v>
      </c>
      <c r="Z57" s="81">
        <f t="shared" si="57"/>
        <v>0.33333333333333331</v>
      </c>
      <c r="AA57" s="86">
        <f t="shared" si="58"/>
        <v>1.6666666666666667</v>
      </c>
      <c r="AB57" s="82">
        <f t="shared" si="59"/>
        <v>1</v>
      </c>
      <c r="AC57" s="82">
        <f t="shared" si="60"/>
        <v>0.57735026918962584</v>
      </c>
      <c r="AD57" s="82">
        <f t="shared" si="61"/>
        <v>0</v>
      </c>
      <c r="AE57" s="82">
        <f t="shared" si="62"/>
        <v>0.57735026918962584</v>
      </c>
      <c r="AF57" s="83">
        <f t="shared" si="63"/>
        <v>0.57735026918962551</v>
      </c>
    </row>
    <row r="58" spans="1:32" ht="85" x14ac:dyDescent="0.2">
      <c r="A58" s="23" t="s">
        <v>33</v>
      </c>
      <c r="B58" s="53">
        <v>0</v>
      </c>
      <c r="C58" s="54">
        <v>4</v>
      </c>
      <c r="D58" s="54">
        <v>0</v>
      </c>
      <c r="E58" s="54">
        <v>1</v>
      </c>
      <c r="F58" s="64"/>
      <c r="G58" s="55">
        <v>2</v>
      </c>
      <c r="H58" s="19" t="s">
        <v>41</v>
      </c>
      <c r="I58" s="53">
        <v>0</v>
      </c>
      <c r="J58" s="54">
        <v>6</v>
      </c>
      <c r="K58" s="54">
        <v>0</v>
      </c>
      <c r="L58" s="54">
        <v>1</v>
      </c>
      <c r="M58" s="64"/>
      <c r="N58" s="55">
        <v>5</v>
      </c>
      <c r="O58" s="44" t="s">
        <v>53</v>
      </c>
      <c r="P58" s="53">
        <v>0</v>
      </c>
      <c r="Q58" s="54">
        <v>5</v>
      </c>
      <c r="R58" s="54">
        <v>0</v>
      </c>
      <c r="S58" s="54">
        <v>1</v>
      </c>
      <c r="T58" s="64"/>
      <c r="U58" s="55">
        <v>4</v>
      </c>
      <c r="V58" s="19" t="s">
        <v>63</v>
      </c>
      <c r="W58" s="87">
        <f t="shared" si="54"/>
        <v>0</v>
      </c>
      <c r="X58" s="87">
        <f t="shared" si="55"/>
        <v>5</v>
      </c>
      <c r="Y58" s="87">
        <f t="shared" si="56"/>
        <v>0</v>
      </c>
      <c r="Z58" s="87">
        <f t="shared" si="57"/>
        <v>1</v>
      </c>
      <c r="AA58" s="88">
        <f t="shared" si="58"/>
        <v>3.6666666666666665</v>
      </c>
      <c r="AB58" s="84">
        <f>STDEV(B58,I58,P58)</f>
        <v>0</v>
      </c>
      <c r="AC58" s="84">
        <f t="shared" ref="AC58" si="64">STDEV(C58,J58,Q58)</f>
        <v>1</v>
      </c>
      <c r="AD58" s="84">
        <f t="shared" ref="AD58" si="65">STDEV(D58,K58,R58)</f>
        <v>0</v>
      </c>
      <c r="AE58" s="84">
        <f t="shared" ref="AE58" si="66">STDEV(E58,L58,S58)</f>
        <v>0</v>
      </c>
      <c r="AF58" s="85">
        <f t="shared" ref="AF58" si="67">STDEV(G58,N58,U58)</f>
        <v>1.5275252316519463</v>
      </c>
    </row>
    <row r="63" spans="1:32" ht="22" x14ac:dyDescent="0.2">
      <c r="B63" s="184" t="s">
        <v>14</v>
      </c>
      <c r="C63" s="185"/>
      <c r="D63" s="185"/>
      <c r="E63" s="185"/>
      <c r="F63" s="185"/>
      <c r="G63" s="185"/>
      <c r="H63" s="186"/>
      <c r="I63" s="184" t="s">
        <v>15</v>
      </c>
      <c r="J63" s="185"/>
      <c r="K63" s="185"/>
      <c r="L63" s="185"/>
      <c r="M63" s="185"/>
      <c r="N63" s="185"/>
      <c r="O63" s="186"/>
      <c r="P63" s="187" t="s">
        <v>16</v>
      </c>
      <c r="Q63" s="188"/>
      <c r="R63" s="188"/>
      <c r="S63" s="188"/>
      <c r="T63" s="188"/>
      <c r="U63" s="188"/>
      <c r="V63" s="189"/>
      <c r="W63" s="187" t="s">
        <v>17</v>
      </c>
      <c r="X63" s="188"/>
      <c r="Y63" s="188"/>
      <c r="Z63" s="188"/>
      <c r="AA63" s="189"/>
      <c r="AB63" s="187" t="s">
        <v>18</v>
      </c>
      <c r="AC63" s="188"/>
      <c r="AD63" s="188"/>
      <c r="AE63" s="188"/>
      <c r="AF63" s="189"/>
    </row>
    <row r="64" spans="1:32" ht="22" x14ac:dyDescent="0.3">
      <c r="A64" s="9" t="s">
        <v>5</v>
      </c>
      <c r="B64" s="74" t="s">
        <v>7</v>
      </c>
      <c r="C64" s="6" t="s">
        <v>21</v>
      </c>
      <c r="D64" s="6" t="s">
        <v>9</v>
      </c>
      <c r="E64" s="6" t="s">
        <v>10</v>
      </c>
      <c r="F64" s="176" t="s">
        <v>100</v>
      </c>
      <c r="G64" s="7" t="s">
        <v>101</v>
      </c>
      <c r="H64" s="118" t="s">
        <v>22</v>
      </c>
      <c r="I64" s="117" t="s">
        <v>7</v>
      </c>
      <c r="J64" s="12" t="s">
        <v>21</v>
      </c>
      <c r="K64" s="12" t="s">
        <v>9</v>
      </c>
      <c r="L64" s="12" t="s">
        <v>10</v>
      </c>
      <c r="M64" s="35" t="s">
        <v>100</v>
      </c>
      <c r="N64" s="35" t="s">
        <v>101</v>
      </c>
      <c r="O64" s="37" t="s">
        <v>22</v>
      </c>
      <c r="P64" s="36" t="s">
        <v>7</v>
      </c>
      <c r="Q64" s="2" t="s">
        <v>21</v>
      </c>
      <c r="R64" s="2" t="s">
        <v>9</v>
      </c>
      <c r="S64" s="2" t="s">
        <v>10</v>
      </c>
      <c r="T64" s="18" t="s">
        <v>100</v>
      </c>
      <c r="U64" s="4" t="s">
        <v>101</v>
      </c>
      <c r="V64" s="18" t="s">
        <v>22</v>
      </c>
      <c r="W64" s="10" t="s">
        <v>7</v>
      </c>
      <c r="X64" s="25" t="s">
        <v>21</v>
      </c>
      <c r="Y64" s="11" t="s">
        <v>9</v>
      </c>
      <c r="Z64" s="11" t="s">
        <v>10</v>
      </c>
      <c r="AA64" s="13" t="s">
        <v>13</v>
      </c>
      <c r="AB64" s="10" t="s">
        <v>7</v>
      </c>
      <c r="AC64" s="11" t="s">
        <v>21</v>
      </c>
      <c r="AD64" s="11" t="s">
        <v>9</v>
      </c>
      <c r="AE64" s="11" t="s">
        <v>10</v>
      </c>
      <c r="AF64" s="13" t="s">
        <v>13</v>
      </c>
    </row>
    <row r="65" spans="1:32" ht="51" x14ac:dyDescent="0.2">
      <c r="A65" s="20" t="s">
        <v>84</v>
      </c>
      <c r="B65" s="75">
        <v>0</v>
      </c>
      <c r="C65" s="47">
        <v>3</v>
      </c>
      <c r="D65" s="47">
        <v>0</v>
      </c>
      <c r="E65" s="47">
        <v>1</v>
      </c>
      <c r="F65" s="119"/>
      <c r="G65" s="48">
        <v>1</v>
      </c>
      <c r="H65" s="23" t="s">
        <v>95</v>
      </c>
      <c r="I65" s="75">
        <v>0</v>
      </c>
      <c r="J65" s="47">
        <v>3</v>
      </c>
      <c r="K65" s="47">
        <v>0</v>
      </c>
      <c r="L65" s="47">
        <v>1</v>
      </c>
      <c r="M65" s="119"/>
      <c r="N65" s="48">
        <v>1</v>
      </c>
      <c r="O65" s="23" t="s">
        <v>95</v>
      </c>
      <c r="P65" s="65">
        <v>0</v>
      </c>
      <c r="Q65" s="46">
        <v>5</v>
      </c>
      <c r="R65" s="46">
        <v>0</v>
      </c>
      <c r="S65" s="46">
        <v>1</v>
      </c>
      <c r="T65" s="60"/>
      <c r="U65" s="49">
        <v>3</v>
      </c>
      <c r="V65" s="15" t="s">
        <v>28</v>
      </c>
      <c r="W65" s="111">
        <f>AVERAGE(B65,I65,P65)</f>
        <v>0</v>
      </c>
      <c r="X65" s="111">
        <f t="shared" ref="X65" si="68">AVERAGE(C65,J65,Q65)</f>
        <v>3.6666666666666665</v>
      </c>
      <c r="Y65" s="111">
        <f t="shared" ref="Y65" si="69">AVERAGE(D65,K65,R65)</f>
        <v>0</v>
      </c>
      <c r="Z65" s="111">
        <f t="shared" ref="Z65" si="70">AVERAGE(E65,L65,S65)</f>
        <v>1</v>
      </c>
      <c r="AA65" s="112">
        <f t="shared" ref="AA65" si="71">AVERAGE(G65,N65,U65)</f>
        <v>1.6666666666666667</v>
      </c>
      <c r="AB65" s="109">
        <f>STDEV(B65,I65,P65)</f>
        <v>0</v>
      </c>
      <c r="AC65" s="109">
        <f t="shared" ref="AC65" si="72">STDEV(C65,J65,Q65)</f>
        <v>1.154700538379251</v>
      </c>
      <c r="AD65" s="109">
        <f t="shared" ref="AD65" si="73">STDEV(D65,K65,R65)</f>
        <v>0</v>
      </c>
      <c r="AE65" s="109">
        <f t="shared" ref="AE65" si="74">STDEV(E65,L65,S65)</f>
        <v>0</v>
      </c>
      <c r="AF65" s="110">
        <f t="shared" ref="AF65" si="75">STDEV(G65,N65,U65)</f>
        <v>1.1547005383792515</v>
      </c>
    </row>
    <row r="66" spans="1:32" ht="51" x14ac:dyDescent="0.2">
      <c r="A66" s="20" t="s">
        <v>83</v>
      </c>
      <c r="B66" s="73">
        <v>1</v>
      </c>
      <c r="C66" s="68">
        <v>3</v>
      </c>
      <c r="D66" s="68">
        <v>0</v>
      </c>
      <c r="E66" s="68">
        <v>1</v>
      </c>
      <c r="F66" s="122"/>
      <c r="G66" s="69">
        <v>0</v>
      </c>
      <c r="H66" s="43" t="s">
        <v>96</v>
      </c>
      <c r="I66" s="71">
        <v>1</v>
      </c>
      <c r="J66" s="51">
        <v>3</v>
      </c>
      <c r="K66" s="51">
        <v>0</v>
      </c>
      <c r="L66" s="51">
        <v>1</v>
      </c>
      <c r="M66" s="70"/>
      <c r="N66" s="70">
        <v>0</v>
      </c>
      <c r="O66" s="43" t="s">
        <v>96</v>
      </c>
      <c r="P66" s="73">
        <v>1</v>
      </c>
      <c r="Q66" s="68">
        <v>3</v>
      </c>
      <c r="R66" s="68">
        <v>0</v>
      </c>
      <c r="S66" s="68">
        <v>1</v>
      </c>
      <c r="T66" s="122"/>
      <c r="U66" s="69">
        <v>0</v>
      </c>
      <c r="V66" s="43" t="s">
        <v>96</v>
      </c>
      <c r="W66" s="111">
        <f t="shared" ref="W66:W68" si="76">AVERAGE(B66,I66,P66)</f>
        <v>1</v>
      </c>
      <c r="X66" s="111">
        <f t="shared" ref="X66:X68" si="77">AVERAGE(C66,J66,Q66)</f>
        <v>3</v>
      </c>
      <c r="Y66" s="111">
        <f t="shared" ref="Y66:Y68" si="78">AVERAGE(D66,K66,R66)</f>
        <v>0</v>
      </c>
      <c r="Z66" s="111">
        <f t="shared" ref="Z66:Z68" si="79">AVERAGE(E66,L66,S66)</f>
        <v>1</v>
      </c>
      <c r="AA66" s="112">
        <f t="shared" ref="AA66:AA68" si="80">AVERAGE(G66,N66,U66)</f>
        <v>0</v>
      </c>
      <c r="AB66" s="109">
        <f t="shared" ref="AB66:AB68" si="81">STDEV(B66,I66,P66)</f>
        <v>0</v>
      </c>
      <c r="AC66" s="109">
        <f t="shared" ref="AC66:AC68" si="82">STDEV(C66,J66,Q66)</f>
        <v>0</v>
      </c>
      <c r="AD66" s="109">
        <f t="shared" ref="AD66:AD68" si="83">STDEV(D66,K66,R66)</f>
        <v>0</v>
      </c>
      <c r="AE66" s="109">
        <f t="shared" ref="AE66:AE68" si="84">STDEV(E66,L66,S66)</f>
        <v>0</v>
      </c>
      <c r="AF66" s="110">
        <f t="shared" ref="AF66:AF68" si="85">STDEV(G66,N66,U66)</f>
        <v>0</v>
      </c>
    </row>
    <row r="67" spans="1:32" ht="119" x14ac:dyDescent="0.2">
      <c r="A67" s="20" t="s">
        <v>82</v>
      </c>
      <c r="B67" s="73">
        <v>2</v>
      </c>
      <c r="C67" s="68">
        <v>5</v>
      </c>
      <c r="D67" s="68">
        <v>0</v>
      </c>
      <c r="E67" s="68">
        <v>0</v>
      </c>
      <c r="F67" s="122"/>
      <c r="G67" s="69">
        <v>3</v>
      </c>
      <c r="H67" s="43" t="s">
        <v>97</v>
      </c>
      <c r="I67" s="71">
        <v>3</v>
      </c>
      <c r="J67" s="51">
        <v>13</v>
      </c>
      <c r="K67" s="51">
        <v>0</v>
      </c>
      <c r="L67" s="51">
        <v>0</v>
      </c>
      <c r="M67" s="70"/>
      <c r="N67" s="70">
        <v>7</v>
      </c>
      <c r="O67" s="43" t="s">
        <v>98</v>
      </c>
      <c r="P67" s="71">
        <v>1</v>
      </c>
      <c r="Q67" s="51">
        <v>6</v>
      </c>
      <c r="R67" s="51">
        <v>0</v>
      </c>
      <c r="S67" s="51">
        <v>0</v>
      </c>
      <c r="T67" s="70"/>
      <c r="U67" s="52">
        <v>4</v>
      </c>
      <c r="V67" s="42" t="s">
        <v>99</v>
      </c>
      <c r="W67" s="111">
        <f t="shared" si="76"/>
        <v>2</v>
      </c>
      <c r="X67" s="111">
        <f t="shared" si="77"/>
        <v>8</v>
      </c>
      <c r="Y67" s="111">
        <f t="shared" si="78"/>
        <v>0</v>
      </c>
      <c r="Z67" s="111">
        <f t="shared" si="79"/>
        <v>0</v>
      </c>
      <c r="AA67" s="112">
        <f t="shared" si="80"/>
        <v>4.666666666666667</v>
      </c>
      <c r="AB67" s="109">
        <f t="shared" si="81"/>
        <v>1</v>
      </c>
      <c r="AC67" s="109">
        <f t="shared" si="82"/>
        <v>4.358898943540674</v>
      </c>
      <c r="AD67" s="109">
        <f t="shared" si="83"/>
        <v>0</v>
      </c>
      <c r="AE67" s="109">
        <f t="shared" si="84"/>
        <v>0</v>
      </c>
      <c r="AF67" s="110">
        <f t="shared" si="85"/>
        <v>2.0816659994661335</v>
      </c>
    </row>
    <row r="68" spans="1:32" ht="85" x14ac:dyDescent="0.2">
      <c r="A68" s="21" t="s">
        <v>85</v>
      </c>
      <c r="B68" s="76">
        <v>0</v>
      </c>
      <c r="C68" s="58">
        <v>2</v>
      </c>
      <c r="D68" s="58">
        <v>0</v>
      </c>
      <c r="E68" s="58">
        <v>1</v>
      </c>
      <c r="F68" s="120"/>
      <c r="G68" s="59">
        <v>2</v>
      </c>
      <c r="H68" s="39" t="s">
        <v>46</v>
      </c>
      <c r="I68" s="66">
        <v>0</v>
      </c>
      <c r="J68" s="54">
        <v>4</v>
      </c>
      <c r="K68" s="54">
        <v>0</v>
      </c>
      <c r="L68" s="54">
        <v>1</v>
      </c>
      <c r="M68" s="64"/>
      <c r="N68" s="64">
        <v>2</v>
      </c>
      <c r="O68" s="39" t="s">
        <v>57</v>
      </c>
      <c r="P68" s="66">
        <v>0</v>
      </c>
      <c r="Q68" s="54">
        <v>4</v>
      </c>
      <c r="R68" s="54">
        <v>0</v>
      </c>
      <c r="S68" s="54">
        <v>1</v>
      </c>
      <c r="T68" s="64"/>
      <c r="U68" s="55">
        <v>2</v>
      </c>
      <c r="V68" s="28"/>
      <c r="W68" s="113">
        <f t="shared" si="76"/>
        <v>0</v>
      </c>
      <c r="X68" s="113">
        <f t="shared" si="77"/>
        <v>3.3333333333333335</v>
      </c>
      <c r="Y68" s="113">
        <f t="shared" si="78"/>
        <v>0</v>
      </c>
      <c r="Z68" s="113">
        <f t="shared" si="79"/>
        <v>1</v>
      </c>
      <c r="AA68" s="114">
        <f t="shared" si="80"/>
        <v>2</v>
      </c>
      <c r="AB68" s="115">
        <f t="shared" si="81"/>
        <v>0</v>
      </c>
      <c r="AC68" s="115">
        <f t="shared" si="82"/>
        <v>1.154700538379251</v>
      </c>
      <c r="AD68" s="115">
        <f t="shared" si="83"/>
        <v>0</v>
      </c>
      <c r="AE68" s="115">
        <f t="shared" si="84"/>
        <v>0</v>
      </c>
      <c r="AF68" s="116">
        <f t="shared" si="85"/>
        <v>0</v>
      </c>
    </row>
    <row r="73" spans="1:32" ht="16" customHeight="1" x14ac:dyDescent="0.2">
      <c r="A73" s="198" t="s">
        <v>75</v>
      </c>
      <c r="B73" s="199"/>
      <c r="C73" s="199"/>
      <c r="D73" s="199"/>
      <c r="E73" s="199"/>
      <c r="F73" s="199"/>
      <c r="G73" s="200"/>
    </row>
    <row r="74" spans="1:32" ht="16" customHeight="1" thickBot="1" x14ac:dyDescent="0.25">
      <c r="A74" s="201"/>
      <c r="B74" s="202"/>
      <c r="C74" s="202"/>
      <c r="D74" s="202"/>
      <c r="E74" s="202"/>
      <c r="F74" s="202"/>
      <c r="G74" s="203"/>
    </row>
    <row r="75" spans="1:32" ht="16" customHeight="1" x14ac:dyDescent="0.2">
      <c r="A75" s="204" t="s">
        <v>102</v>
      </c>
      <c r="B75" s="205"/>
      <c r="C75" s="205"/>
      <c r="D75" s="205"/>
      <c r="E75" s="205"/>
      <c r="F75" s="205"/>
      <c r="G75" s="205"/>
      <c r="H75" s="205"/>
      <c r="I75" s="205"/>
      <c r="J75" s="205"/>
      <c r="K75" s="205"/>
      <c r="L75" s="205"/>
      <c r="M75" s="205"/>
      <c r="N75" s="205"/>
      <c r="O75" s="206"/>
    </row>
    <row r="76" spans="1:32" ht="16" customHeight="1" x14ac:dyDescent="0.2">
      <c r="A76" s="207"/>
      <c r="B76" s="208"/>
      <c r="C76" s="208"/>
      <c r="D76" s="208"/>
      <c r="E76" s="208"/>
      <c r="F76" s="208"/>
      <c r="G76" s="208"/>
      <c r="H76" s="208"/>
      <c r="I76" s="208"/>
      <c r="J76" s="208"/>
      <c r="K76" s="208"/>
      <c r="L76" s="208"/>
      <c r="M76" s="208"/>
      <c r="N76" s="208"/>
      <c r="O76" s="209"/>
    </row>
    <row r="77" spans="1:32" ht="16" customHeight="1" x14ac:dyDescent="0.2">
      <c r="A77" s="207"/>
      <c r="B77" s="208"/>
      <c r="C77" s="208"/>
      <c r="D77" s="208"/>
      <c r="E77" s="208"/>
      <c r="F77" s="208"/>
      <c r="G77" s="208"/>
      <c r="H77" s="208"/>
      <c r="I77" s="208"/>
      <c r="J77" s="208"/>
      <c r="K77" s="208"/>
      <c r="L77" s="208"/>
      <c r="M77" s="208"/>
      <c r="N77" s="208"/>
      <c r="O77" s="209"/>
    </row>
    <row r="78" spans="1:32" ht="16" customHeight="1" x14ac:dyDescent="0.2">
      <c r="A78" s="207"/>
      <c r="B78" s="208"/>
      <c r="C78" s="208"/>
      <c r="D78" s="208"/>
      <c r="E78" s="208"/>
      <c r="F78" s="208"/>
      <c r="G78" s="208"/>
      <c r="H78" s="208"/>
      <c r="I78" s="208"/>
      <c r="J78" s="208"/>
      <c r="K78" s="208"/>
      <c r="L78" s="208"/>
      <c r="M78" s="208"/>
      <c r="N78" s="208"/>
      <c r="O78" s="209"/>
    </row>
    <row r="79" spans="1:32" ht="16" customHeight="1" x14ac:dyDescent="0.2">
      <c r="A79" s="207"/>
      <c r="B79" s="208"/>
      <c r="C79" s="208"/>
      <c r="D79" s="208"/>
      <c r="E79" s="208"/>
      <c r="F79" s="208"/>
      <c r="G79" s="208"/>
      <c r="H79" s="208"/>
      <c r="I79" s="208"/>
      <c r="J79" s="208"/>
      <c r="K79" s="208"/>
      <c r="L79" s="208"/>
      <c r="M79" s="208"/>
      <c r="N79" s="208"/>
      <c r="O79" s="209"/>
    </row>
    <row r="80" spans="1:32" ht="16" customHeight="1" x14ac:dyDescent="0.2">
      <c r="A80" s="207"/>
      <c r="B80" s="208"/>
      <c r="C80" s="208"/>
      <c r="D80" s="208"/>
      <c r="E80" s="208"/>
      <c r="F80" s="208"/>
      <c r="G80" s="208"/>
      <c r="H80" s="208"/>
      <c r="I80" s="208"/>
      <c r="J80" s="208"/>
      <c r="K80" s="208"/>
      <c r="L80" s="208"/>
      <c r="M80" s="208"/>
      <c r="N80" s="208"/>
      <c r="O80" s="209"/>
    </row>
    <row r="81" spans="1:15" ht="16" customHeight="1" x14ac:dyDescent="0.2">
      <c r="A81" s="207"/>
      <c r="B81" s="208"/>
      <c r="C81" s="208"/>
      <c r="D81" s="208"/>
      <c r="E81" s="208"/>
      <c r="F81" s="208"/>
      <c r="G81" s="208"/>
      <c r="H81" s="208"/>
      <c r="I81" s="208"/>
      <c r="J81" s="208"/>
      <c r="K81" s="208"/>
      <c r="L81" s="208"/>
      <c r="M81" s="208"/>
      <c r="N81" s="208"/>
      <c r="O81" s="209"/>
    </row>
    <row r="82" spans="1:15" ht="16" customHeight="1" x14ac:dyDescent="0.2">
      <c r="A82" s="207"/>
      <c r="B82" s="208"/>
      <c r="C82" s="208"/>
      <c r="D82" s="208"/>
      <c r="E82" s="208"/>
      <c r="F82" s="208"/>
      <c r="G82" s="208"/>
      <c r="H82" s="208"/>
      <c r="I82" s="208"/>
      <c r="J82" s="208"/>
      <c r="K82" s="208"/>
      <c r="L82" s="208"/>
      <c r="M82" s="208"/>
      <c r="N82" s="208"/>
      <c r="O82" s="209"/>
    </row>
    <row r="83" spans="1:15" ht="16" customHeight="1" x14ac:dyDescent="0.2">
      <c r="A83" s="207"/>
      <c r="B83" s="208"/>
      <c r="C83" s="208"/>
      <c r="D83" s="208"/>
      <c r="E83" s="208"/>
      <c r="F83" s="208"/>
      <c r="G83" s="208"/>
      <c r="H83" s="208"/>
      <c r="I83" s="208"/>
      <c r="J83" s="208"/>
      <c r="K83" s="208"/>
      <c r="L83" s="208"/>
      <c r="M83" s="208"/>
      <c r="N83" s="208"/>
      <c r="O83" s="209"/>
    </row>
    <row r="84" spans="1:15" ht="16" customHeight="1" x14ac:dyDescent="0.2">
      <c r="A84" s="207"/>
      <c r="B84" s="208"/>
      <c r="C84" s="208"/>
      <c r="D84" s="208"/>
      <c r="E84" s="208"/>
      <c r="F84" s="208"/>
      <c r="G84" s="208"/>
      <c r="H84" s="208"/>
      <c r="I84" s="208"/>
      <c r="J84" s="208"/>
      <c r="K84" s="208"/>
      <c r="L84" s="208"/>
      <c r="M84" s="208"/>
      <c r="N84" s="208"/>
      <c r="O84" s="209"/>
    </row>
    <row r="85" spans="1:15" ht="17" customHeight="1" x14ac:dyDescent="0.2">
      <c r="A85" s="207"/>
      <c r="B85" s="208"/>
      <c r="C85" s="208"/>
      <c r="D85" s="208"/>
      <c r="E85" s="208"/>
      <c r="F85" s="208"/>
      <c r="G85" s="208"/>
      <c r="H85" s="208"/>
      <c r="I85" s="208"/>
      <c r="J85" s="208"/>
      <c r="K85" s="208"/>
      <c r="L85" s="208"/>
      <c r="M85" s="208"/>
      <c r="N85" s="208"/>
      <c r="O85" s="209"/>
    </row>
    <row r="86" spans="1:15" ht="16" customHeight="1" x14ac:dyDescent="0.2">
      <c r="A86" s="207"/>
      <c r="B86" s="208"/>
      <c r="C86" s="208"/>
      <c r="D86" s="208"/>
      <c r="E86" s="208"/>
      <c r="F86" s="208"/>
      <c r="G86" s="208"/>
      <c r="H86" s="208"/>
      <c r="I86" s="208"/>
      <c r="J86" s="208"/>
      <c r="K86" s="208"/>
      <c r="L86" s="208"/>
      <c r="M86" s="208"/>
      <c r="N86" s="208"/>
      <c r="O86" s="209"/>
    </row>
    <row r="87" spans="1:15" ht="16" customHeight="1" x14ac:dyDescent="0.2">
      <c r="A87" s="207"/>
      <c r="B87" s="208"/>
      <c r="C87" s="208"/>
      <c r="D87" s="208"/>
      <c r="E87" s="208"/>
      <c r="F87" s="208"/>
      <c r="G87" s="208"/>
      <c r="H87" s="208"/>
      <c r="I87" s="208"/>
      <c r="J87" s="208"/>
      <c r="K87" s="208"/>
      <c r="L87" s="208"/>
      <c r="M87" s="208"/>
      <c r="N87" s="208"/>
      <c r="O87" s="209"/>
    </row>
    <row r="88" spans="1:15" ht="17" customHeight="1" x14ac:dyDescent="0.2">
      <c r="A88" s="207"/>
      <c r="B88" s="208"/>
      <c r="C88" s="208"/>
      <c r="D88" s="208"/>
      <c r="E88" s="208"/>
      <c r="F88" s="208"/>
      <c r="G88" s="208"/>
      <c r="H88" s="208"/>
      <c r="I88" s="208"/>
      <c r="J88" s="208"/>
      <c r="K88" s="208"/>
      <c r="L88" s="208"/>
      <c r="M88" s="208"/>
      <c r="N88" s="208"/>
      <c r="O88" s="209"/>
    </row>
    <row r="89" spans="1:15" x14ac:dyDescent="0.2">
      <c r="A89" s="207"/>
      <c r="B89" s="208"/>
      <c r="C89" s="208"/>
      <c r="D89" s="208"/>
      <c r="E89" s="208"/>
      <c r="F89" s="208"/>
      <c r="G89" s="208"/>
      <c r="H89" s="208"/>
      <c r="I89" s="208"/>
      <c r="J89" s="208"/>
      <c r="K89" s="208"/>
      <c r="L89" s="208"/>
      <c r="M89" s="208"/>
      <c r="N89" s="208"/>
      <c r="O89" s="209"/>
    </row>
    <row r="90" spans="1:15" x14ac:dyDescent="0.2">
      <c r="A90" s="210"/>
      <c r="B90" s="211"/>
      <c r="C90" s="211"/>
      <c r="D90" s="211"/>
      <c r="E90" s="211"/>
      <c r="F90" s="211"/>
      <c r="G90" s="211"/>
      <c r="H90" s="211"/>
      <c r="I90" s="211"/>
      <c r="J90" s="211"/>
      <c r="K90" s="211"/>
      <c r="L90" s="211"/>
      <c r="M90" s="211"/>
      <c r="N90" s="211"/>
      <c r="O90" s="212"/>
    </row>
    <row r="96" spans="1:15" x14ac:dyDescent="0.2">
      <c r="A96" s="180" t="s">
        <v>127</v>
      </c>
      <c r="B96" s="215"/>
      <c r="C96" s="215"/>
      <c r="D96" s="215"/>
    </row>
    <row r="97" spans="1:8" ht="72" customHeight="1" x14ac:dyDescent="0.2">
      <c r="A97" s="179" t="s">
        <v>128</v>
      </c>
      <c r="B97" s="213" t="s">
        <v>150</v>
      </c>
      <c r="C97" s="213"/>
      <c r="D97" s="213"/>
      <c r="E97" s="213"/>
      <c r="F97" s="213"/>
      <c r="G97" s="213"/>
      <c r="H97" s="213"/>
    </row>
    <row r="98" spans="1:8" ht="65" customHeight="1" x14ac:dyDescent="0.2">
      <c r="A98" s="179" t="s">
        <v>142</v>
      </c>
      <c r="B98" s="213" t="s">
        <v>135</v>
      </c>
      <c r="C98" s="213"/>
      <c r="D98" s="213"/>
      <c r="E98" s="213"/>
      <c r="F98" s="213"/>
      <c r="G98" s="213"/>
      <c r="H98" s="213"/>
    </row>
    <row r="99" spans="1:8" ht="67" customHeight="1" x14ac:dyDescent="0.2">
      <c r="A99" s="179" t="s">
        <v>144</v>
      </c>
      <c r="B99" s="213" t="s">
        <v>149</v>
      </c>
      <c r="C99" s="213"/>
      <c r="D99" s="213"/>
      <c r="E99" s="213"/>
      <c r="F99" s="213"/>
      <c r="G99" s="213"/>
      <c r="H99" s="213"/>
    </row>
    <row r="100" spans="1:8" ht="76" customHeight="1" x14ac:dyDescent="0.2">
      <c r="A100" s="179" t="s">
        <v>130</v>
      </c>
      <c r="B100" s="213" t="s">
        <v>136</v>
      </c>
      <c r="C100" s="213"/>
      <c r="D100" s="213"/>
      <c r="E100" s="213"/>
      <c r="F100" s="213"/>
      <c r="G100" s="213"/>
      <c r="H100" s="213"/>
    </row>
    <row r="101" spans="1:8" x14ac:dyDescent="0.2">
      <c r="B101" s="181"/>
      <c r="C101" s="181"/>
      <c r="D101" s="181"/>
    </row>
    <row r="102" spans="1:8" x14ac:dyDescent="0.2">
      <c r="B102" s="181"/>
      <c r="C102" s="181"/>
      <c r="D102" s="181"/>
    </row>
    <row r="103" spans="1:8" x14ac:dyDescent="0.2">
      <c r="B103" s="181"/>
      <c r="C103" s="181"/>
      <c r="D103" s="181"/>
    </row>
    <row r="104" spans="1:8" x14ac:dyDescent="0.2">
      <c r="A104" s="180" t="s">
        <v>131</v>
      </c>
      <c r="B104" s="181"/>
      <c r="C104" s="181"/>
      <c r="D104" s="181"/>
    </row>
    <row r="105" spans="1:8" ht="51" customHeight="1" x14ac:dyDescent="0.2">
      <c r="A105" s="175" t="s">
        <v>144</v>
      </c>
      <c r="B105" s="213" t="s">
        <v>145</v>
      </c>
      <c r="C105" s="213"/>
      <c r="D105" s="213"/>
      <c r="E105" s="213"/>
      <c r="F105" s="213"/>
      <c r="G105" s="213"/>
      <c r="H105" s="213"/>
    </row>
    <row r="106" spans="1:8" ht="52" customHeight="1" x14ac:dyDescent="0.2">
      <c r="A106" s="175" t="s">
        <v>143</v>
      </c>
      <c r="B106" s="214" t="s">
        <v>146</v>
      </c>
      <c r="C106" s="214"/>
      <c r="D106" s="214"/>
      <c r="E106" s="214"/>
      <c r="F106" s="214"/>
      <c r="G106" s="214"/>
      <c r="H106" s="214"/>
    </row>
    <row r="107" spans="1:8" ht="55" customHeight="1" x14ac:dyDescent="0.2">
      <c r="A107" s="175" t="s">
        <v>147</v>
      </c>
      <c r="B107" s="214" t="s">
        <v>137</v>
      </c>
      <c r="C107" s="214"/>
      <c r="D107" s="214"/>
      <c r="E107" s="214"/>
      <c r="F107" s="214"/>
      <c r="G107" s="214"/>
      <c r="H107" s="214"/>
    </row>
  </sheetData>
  <mergeCells count="49">
    <mergeCell ref="B105:H105"/>
    <mergeCell ref="B106:H106"/>
    <mergeCell ref="B107:H107"/>
    <mergeCell ref="B96:D96"/>
    <mergeCell ref="B97:H97"/>
    <mergeCell ref="B98:H98"/>
    <mergeCell ref="B99:H99"/>
    <mergeCell ref="B100:H100"/>
    <mergeCell ref="A73:G74"/>
    <mergeCell ref="B63:H63"/>
    <mergeCell ref="I63:O63"/>
    <mergeCell ref="P63:V63"/>
    <mergeCell ref="A75:O90"/>
    <mergeCell ref="W63:AA63"/>
    <mergeCell ref="AB63:AF63"/>
    <mergeCell ref="B53:H53"/>
    <mergeCell ref="I53:O53"/>
    <mergeCell ref="P53:V53"/>
    <mergeCell ref="W53:AA53"/>
    <mergeCell ref="AB53:AF53"/>
    <mergeCell ref="A42:AF42"/>
    <mergeCell ref="B44:H44"/>
    <mergeCell ref="I44:O44"/>
    <mergeCell ref="P44:V44"/>
    <mergeCell ref="W44:AA44"/>
    <mergeCell ref="AB44:AF44"/>
    <mergeCell ref="B1:D1"/>
    <mergeCell ref="B2:D2"/>
    <mergeCell ref="B3:D3"/>
    <mergeCell ref="B4:D4"/>
    <mergeCell ref="B5:D5"/>
    <mergeCell ref="B6:D6"/>
    <mergeCell ref="B7:D7"/>
    <mergeCell ref="B20:H20"/>
    <mergeCell ref="A9:AF9"/>
    <mergeCell ref="B11:H11"/>
    <mergeCell ref="I11:O11"/>
    <mergeCell ref="P11:V11"/>
    <mergeCell ref="W11:AA11"/>
    <mergeCell ref="AB11:AF11"/>
    <mergeCell ref="I20:O20"/>
    <mergeCell ref="P20:V20"/>
    <mergeCell ref="W20:AA20"/>
    <mergeCell ref="AB20:AF20"/>
    <mergeCell ref="B30:H30"/>
    <mergeCell ref="I30:O30"/>
    <mergeCell ref="P30:V30"/>
    <mergeCell ref="W30:AA30"/>
    <mergeCell ref="AB30:AF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6</vt:i4>
      </vt:variant>
    </vt:vector>
  </HeadingPairs>
  <TitlesOfParts>
    <vt:vector size="6" baseType="lpstr">
      <vt:lpstr>MITL_FP&amp;HI</vt:lpstr>
      <vt:lpstr>MITL_logical_sequence</vt:lpstr>
      <vt:lpstr>MITL</vt:lpstr>
      <vt:lpstr>Autonomous_FP&amp;HI</vt:lpstr>
      <vt:lpstr>Autonomous_logical_sequence</vt:lpstr>
      <vt:lpstr>Autonomous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Usai  Andrea</dc:creator>
  <cp:lastModifiedBy>Usai  Andrea</cp:lastModifiedBy>
  <dcterms:created xsi:type="dcterms:W3CDTF">2025-06-24T15:40:26Z</dcterms:created>
  <dcterms:modified xsi:type="dcterms:W3CDTF">2025-07-16T07:41:05Z</dcterms:modified>
</cp:coreProperties>
</file>